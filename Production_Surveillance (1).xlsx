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Data" sheetId="1" r:id="rId4"/>
    <sheet state="visible" name="KPIs &amp; Summary" sheetId="2" r:id="rId5"/>
    <sheet state="visible" name="Field Summary" sheetId="3" r:id="rId6"/>
    <sheet state="visible" name="Alert Wells" sheetId="4" r:id="rId7"/>
    <sheet state="visible" name="Charts" sheetId="5" r:id="rId8"/>
  </sheets>
  <definedNames/>
  <calcPr/>
  <extLst>
    <ext uri="GoogleSheetsCustomDataVersion2">
      <go:sheetsCustomData xmlns:go="http://customooxmlschemas.google.com/" r:id="rId9" roundtripDataChecksum="ufZc3jdqz7HQw0CqCWFVyyCIW3hCQJSAyNc+JRE4bR4="/>
    </ext>
  </extLst>
</workbook>
</file>

<file path=xl/sharedStrings.xml><?xml version="1.0" encoding="utf-8"?>
<sst xmlns="http://schemas.openxmlformats.org/spreadsheetml/2006/main" count="255" uniqueCount="97">
  <si>
    <t>Well</t>
  </si>
  <si>
    <t>Field</t>
  </si>
  <si>
    <t>Oil (bbl/day)</t>
  </si>
  <si>
    <t>Gas (Mscf/day)</t>
  </si>
  <si>
    <t>Water (bbl/day)</t>
  </si>
  <si>
    <t>Pressure (psi)</t>
  </si>
  <si>
    <t>Temperature (°F)</t>
  </si>
  <si>
    <t>Pump Type</t>
  </si>
  <si>
    <t>Status</t>
  </si>
  <si>
    <t>Pump Efficiency (%)</t>
  </si>
  <si>
    <t>Water Cut (%)</t>
  </si>
  <si>
    <t>Recommended Action</t>
  </si>
  <si>
    <t>Efficiency (%)</t>
  </si>
  <si>
    <t>W001</t>
  </si>
  <si>
    <t>Charlie</t>
  </si>
  <si>
    <t>ESP</t>
  </si>
  <si>
    <t>Shut-in</t>
  </si>
  <si>
    <t>W002</t>
  </si>
  <si>
    <t>Alpha</t>
  </si>
  <si>
    <t>Active</t>
  </si>
  <si>
    <t>Rod Pump</t>
  </si>
  <si>
    <t>W003</t>
  </si>
  <si>
    <t>Gas Lift</t>
  </si>
  <si>
    <t>W004</t>
  </si>
  <si>
    <t>W005</t>
  </si>
  <si>
    <t>W006</t>
  </si>
  <si>
    <t>W007</t>
  </si>
  <si>
    <t>Monitor</t>
  </si>
  <si>
    <t>W008</t>
  </si>
  <si>
    <t>W009</t>
  </si>
  <si>
    <t>Bravo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</si>
  <si>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</si>
  <si>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</si>
  <si>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</si>
  <si>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</si>
  <si>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</si>
  <si>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</si>
  <si>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</si>
  <si>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</si>
  <si>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</si>
  <si>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</si>
  <si>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</si>
  <si>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</si>
  <si>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</si>
  <si>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</si>
  <si>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</si>
  <si>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</si>
  <si>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</si>
  <si>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</si>
  <si>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</si>
  <si>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</si>
  <si>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</si>
  <si>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</si>
  <si>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</si>
  <si>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</si>
  <si>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</si>
  <si>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</si>
  <si>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</si>
  <si>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</si>
  <si>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</si>
  <si>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</si>
  <si>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</si>
  <si>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</si>
  <si>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</si>
  <si>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</si>
  <si>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</si>
  <si>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</si>
  <si>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</si>
  <si>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</si>
  <si>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</si>
  <si>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</si>
  <si>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</si>
  <si>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Total Oil Production (bbl/day)</t>
  </si>
  <si>
    <t>Average Oil Rate (bbl/day)</t>
  </si>
  <si>
    <t>Highest Producing Well</t>
  </si>
  <si>
    <t>Lowest Producing Well</t>
  </si>
  <si>
    <t>Number of Active Wells</t>
  </si>
  <si>
    <t>Number of Shut-in Wells</t>
  </si>
  <si>
    <t>Number of Monitor Wells</t>
  </si>
  <si>
    <t>Average Pressure (psi)</t>
  </si>
  <si>
    <t>Average Water Cut (%)</t>
  </si>
  <si>
    <t>Average Temperature (°F)</t>
  </si>
  <si>
    <t>Total Gas Production (Mscf/day)</t>
  </si>
  <si>
    <t>Total Water Production (bbl/day)</t>
  </si>
  <si>
    <t>Field Summary</t>
  </si>
  <si>
    <t>Total Oil (bbl/day)</t>
  </si>
  <si>
    <t>Total Gas (Mscf/day)</t>
  </si>
  <si>
    <t>Total Water (bbl/day)</t>
  </si>
  <si>
    <t>Avg Pressure (psi)</t>
  </si>
  <si>
    <t>Active Wells</t>
  </si>
  <si>
    <t>Shut-in Wells</t>
  </si>
  <si>
    <t>Monitor Wells</t>
  </si>
  <si>
    <t>WELLS REQUIRING ATTENTION</t>
  </si>
  <si>
    <t>Well ID</t>
  </si>
  <si>
    <t>Water (%)</t>
  </si>
  <si>
    <t>PRODUCTION SURVEILLANCE CHARTS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</si>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</sst>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b/>
      <sz val="14.0"/>
      <color theme="1"/>
      <name val="Calibri"/>
      <scheme val="minor"/>
    </font>
    <font>
      <b/>
      <sz val="14.0"/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70AD47"/>
        <bgColor rgb="FF70AD47"/>
      </patternFill>
    </fill>
    <fill>
      <patternFill patternType="solid">
        <fgColor rgb="FFC00000"/>
        <bgColor rgb="FFC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Border="1" applyFill="1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Font="1"/>
    <xf borderId="1" fillId="2" fontId="1" numFmtId="0" xfId="0" applyBorder="1" applyFont="1"/>
    <xf borderId="0" fillId="0" fontId="6" numFmtId="0" xfId="0" applyFont="1"/>
    <xf borderId="1" fillId="4" fontId="1" numFmtId="0" xfId="0" applyBorder="1" applyFill="1" applyFont="1"/>
    <xf borderId="0" fillId="0" fontId="3" numFmtId="0" xfId="0" applyFont="1"/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002060"/>
      </font>
      <fill>
        <patternFill patternType="solid">
          <fgColor rgb="FFDDEBF7"/>
          <bgColor rgb="FFDDEB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Oil Production by Field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'Field Summary'!$B$3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'Field Summary'!$A$4:$A$6</c:f>
            </c:strRef>
          </c:cat>
          <c:val>
            <c:numRef>
              <c:f>'Field Summary'!$B$4:$B$6</c:f>
              <c:numCache/>
            </c:numRef>
          </c:val>
        </c:ser>
        <c:axId val="2094888882"/>
        <c:axId val="114756867"/>
      </c:barChart>
      <c:catAx>
        <c:axId val="2094888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56867"/>
      </c:catAx>
      <c:valAx>
        <c:axId val="114756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Oil Production (bbl/day)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888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Water Production by Field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'Field Summary'!$D$3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'Field Summary'!$A$4:$A$6</c:f>
            </c:strRef>
          </c:cat>
          <c:val>
            <c:numRef>
              <c:f>'Field Summary'!$D$4:$D$6</c:f>
              <c:numCache/>
            </c:numRef>
          </c:val>
        </c:ser>
        <c:axId val="1052613403"/>
        <c:axId val="893333"/>
      </c:barChart>
      <c:catAx>
        <c:axId val="1052613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333"/>
      </c:catAx>
      <c:valAx>
        <c:axId val="893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Water Production (bbl/day)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613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Well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'KPIs &amp; Summary'!$A$5:$A$7</c:f>
            </c:strRef>
          </c:cat>
          <c:val>
            <c:numRef>
              <c:f>'KPIs &amp; Summary'!$B$5:$B$7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Pump Type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Charts!$B$30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Charts!$A$31:$A$33</c:f>
            </c:strRef>
          </c:cat>
          <c:val>
            <c:numRef>
              <c:f>Charts!$B$31:$B$33</c:f>
              <c:numCache/>
            </c:numRef>
          </c:val>
        </c:ser>
        <c:axId val="262353395"/>
        <c:axId val="863677594"/>
      </c:barChart>
      <c:catAx>
        <c:axId val="2623533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Wells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677594"/>
      </c:catAx>
      <c:valAx>
        <c:axId val="8636775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Pump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3533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391150" cy="3590925"/>
    <xdr:graphicFrame>
      <xdr:nvGraphicFramePr>
        <xdr:cNvPr id="11193670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2</xdr:row>
      <xdr:rowOff>0</xdr:rowOff>
    </xdr:from>
    <xdr:ext cx="5391150" cy="3590925"/>
    <xdr:graphicFrame>
      <xdr:nvGraphicFramePr>
        <xdr:cNvPr id="26606166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0</xdr:rowOff>
    </xdr:from>
    <xdr:ext cx="5391150" cy="3590925"/>
    <xdr:graphicFrame>
      <xdr:nvGraphicFramePr>
        <xdr:cNvPr id="119407375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0</xdr:colOff>
      <xdr:row>22</xdr:row>
      <xdr:rowOff>0</xdr:rowOff>
    </xdr:from>
    <xdr:ext cx="5391150" cy="3590925"/>
    <xdr:graphicFrame>
      <xdr:nvGraphicFramePr>
        <xdr:cNvPr id="14003461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5.0"/>
    <col customWidth="1" min="4" max="4" width="18.0"/>
    <col customWidth="1" min="5" max="6" width="16.0"/>
    <col customWidth="1" min="7" max="8" width="14.0"/>
    <col customWidth="1" min="9" max="9" width="12.0"/>
    <col customWidth="1" min="10" max="10" width="16.0"/>
    <col customWidth="1" min="11" max="11" width="14.0"/>
    <col customWidth="1" min="12" max="12" width="22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7</v>
      </c>
      <c r="N1" s="2" t="s">
        <v>12</v>
      </c>
    </row>
    <row r="2">
      <c r="A2" s="3" t="s">
        <v>13</v>
      </c>
      <c r="B2" s="3" t="s">
        <v>14</v>
      </c>
      <c r="C2" s="3">
        <v>1256.0</v>
      </c>
      <c r="D2" s="3">
        <v>175.0</v>
      </c>
      <c r="E2" s="3">
        <v>963.0</v>
      </c>
      <c r="F2" s="3">
        <v>2701.0</v>
      </c>
      <c r="G2" s="3">
        <v>177.0</v>
      </c>
      <c r="H2" s="3" t="s">
        <v>15</v>
      </c>
      <c r="I2" s="3" t="s">
        <v>16</v>
      </c>
      <c r="J2" s="3">
        <f t="shared" ref="J2:J51" si="1">IFERROR(INDEX($N$2:$N$4,MATCH(H2,$M$2:$M$4,0)),"N/A")</f>
        <v>94</v>
      </c>
      <c r="K2" s="3">
        <f t="shared" ref="K2:K51" si="2">IFERROR(ROUND((E2/(C2+E2))*100,1),"N/A")</f>
        <v>43.4</v>
      </c>
      <c r="L2" s="3" t="str">
        <f t="shared" ref="L2:L51" si="3">IF(C2&lt;1500,"Workover Candidate",IF(E2&gt;1200,"Water Shutoff Study",IF(F2&lt;2400,"Reservoir Review",IF(AND(I2="Active",C2&gt;3500),"Maintain Current Operations",IF(I2="Shut-in","Restart Evaluation","Monitor")))))</f>
        <v>Workover Candidate</v>
      </c>
      <c r="M2" s="3" t="s">
        <v>15</v>
      </c>
      <c r="N2" s="3">
        <v>94.0</v>
      </c>
    </row>
    <row r="3">
      <c r="A3" s="3" t="s">
        <v>17</v>
      </c>
      <c r="B3" s="3" t="s">
        <v>18</v>
      </c>
      <c r="C3" s="3">
        <v>3571.0</v>
      </c>
      <c r="D3" s="3">
        <v>708.0</v>
      </c>
      <c r="E3" s="3">
        <v>578.0</v>
      </c>
      <c r="F3" s="3">
        <v>3064.0</v>
      </c>
      <c r="G3" s="3">
        <v>171.0</v>
      </c>
      <c r="H3" s="3" t="s">
        <v>15</v>
      </c>
      <c r="I3" s="3" t="s">
        <v>19</v>
      </c>
      <c r="J3" s="3">
        <f t="shared" si="1"/>
        <v>94</v>
      </c>
      <c r="K3" s="3">
        <f t="shared" si="2"/>
        <v>13.9</v>
      </c>
      <c r="L3" s="3" t="str">
        <f t="shared" si="3"/>
        <v>Maintain Current Operations</v>
      </c>
      <c r="M3" s="3" t="s">
        <v>20</v>
      </c>
      <c r="N3" s="3">
        <v>88.0</v>
      </c>
    </row>
    <row r="4">
      <c r="A4" s="3" t="s">
        <v>21</v>
      </c>
      <c r="B4" s="3" t="s">
        <v>18</v>
      </c>
      <c r="C4" s="3">
        <v>1752.0</v>
      </c>
      <c r="D4" s="3">
        <v>667.0</v>
      </c>
      <c r="E4" s="3">
        <v>454.0</v>
      </c>
      <c r="F4" s="3">
        <v>2607.0</v>
      </c>
      <c r="G4" s="3">
        <v>192.0</v>
      </c>
      <c r="H4" s="3" t="s">
        <v>22</v>
      </c>
      <c r="I4" s="3" t="s">
        <v>16</v>
      </c>
      <c r="J4" s="3">
        <f t="shared" si="1"/>
        <v>91</v>
      </c>
      <c r="K4" s="3">
        <f t="shared" si="2"/>
        <v>20.6</v>
      </c>
      <c r="L4" s="3" t="str">
        <f t="shared" si="3"/>
        <v>Restart Evaluation</v>
      </c>
      <c r="M4" s="3" t="s">
        <v>22</v>
      </c>
      <c r="N4" s="3">
        <v>91.0</v>
      </c>
    </row>
    <row r="5">
      <c r="A5" s="3" t="s">
        <v>23</v>
      </c>
      <c r="B5" s="3" t="s">
        <v>14</v>
      </c>
      <c r="C5" s="3">
        <v>2518.0</v>
      </c>
      <c r="D5" s="3">
        <v>375.0</v>
      </c>
      <c r="E5" s="3">
        <v>1319.0</v>
      </c>
      <c r="F5" s="3">
        <v>2769.0</v>
      </c>
      <c r="G5" s="3">
        <v>195.0</v>
      </c>
      <c r="H5" s="3" t="s">
        <v>15</v>
      </c>
      <c r="I5" s="3" t="s">
        <v>19</v>
      </c>
      <c r="J5" s="3">
        <f t="shared" si="1"/>
        <v>94</v>
      </c>
      <c r="K5" s="3">
        <f t="shared" si="2"/>
        <v>34.4</v>
      </c>
      <c r="L5" s="3" t="str">
        <f t="shared" si="3"/>
        <v>Water Shutoff Study</v>
      </c>
    </row>
    <row r="6">
      <c r="A6" s="3" t="s">
        <v>24</v>
      </c>
      <c r="B6" s="3" t="s">
        <v>14</v>
      </c>
      <c r="C6" s="3">
        <v>2531.0</v>
      </c>
      <c r="D6" s="3">
        <v>498.0</v>
      </c>
      <c r="E6" s="3">
        <v>969.0</v>
      </c>
      <c r="F6" s="3">
        <v>2518.0</v>
      </c>
      <c r="G6" s="3">
        <v>176.0</v>
      </c>
      <c r="H6" s="3" t="s">
        <v>20</v>
      </c>
      <c r="I6" s="3" t="s">
        <v>19</v>
      </c>
      <c r="J6" s="3">
        <f t="shared" si="1"/>
        <v>88</v>
      </c>
      <c r="K6" s="3">
        <f t="shared" si="2"/>
        <v>27.7</v>
      </c>
      <c r="L6" s="3" t="str">
        <f t="shared" si="3"/>
        <v>Monitor</v>
      </c>
    </row>
    <row r="7">
      <c r="A7" s="3" t="s">
        <v>25</v>
      </c>
      <c r="B7" s="3" t="s">
        <v>18</v>
      </c>
      <c r="C7" s="3">
        <v>2356.0</v>
      </c>
      <c r="D7" s="3">
        <v>249.0</v>
      </c>
      <c r="E7" s="3">
        <v>1135.0</v>
      </c>
      <c r="F7" s="3">
        <v>2904.0</v>
      </c>
      <c r="G7" s="3">
        <v>189.0</v>
      </c>
      <c r="H7" s="3" t="s">
        <v>20</v>
      </c>
      <c r="I7" s="3" t="s">
        <v>19</v>
      </c>
      <c r="J7" s="3">
        <f t="shared" si="1"/>
        <v>88</v>
      </c>
      <c r="K7" s="3">
        <f t="shared" si="2"/>
        <v>32.5</v>
      </c>
      <c r="L7" s="3" t="str">
        <f t="shared" si="3"/>
        <v>Monitor</v>
      </c>
    </row>
    <row r="8">
      <c r="A8" s="3" t="s">
        <v>26</v>
      </c>
      <c r="B8" s="3" t="s">
        <v>14</v>
      </c>
      <c r="C8" s="3">
        <v>2681.0</v>
      </c>
      <c r="D8" s="3">
        <v>699.0</v>
      </c>
      <c r="E8" s="3">
        <v>655.0</v>
      </c>
      <c r="F8" s="3">
        <v>2975.0</v>
      </c>
      <c r="G8" s="3">
        <v>172.0</v>
      </c>
      <c r="H8" s="3" t="s">
        <v>22</v>
      </c>
      <c r="I8" s="3" t="s">
        <v>27</v>
      </c>
      <c r="J8" s="3">
        <f t="shared" si="1"/>
        <v>91</v>
      </c>
      <c r="K8" s="3">
        <f t="shared" si="2"/>
        <v>19.6</v>
      </c>
      <c r="L8" s="3" t="str">
        <f t="shared" si="3"/>
        <v>Monitor</v>
      </c>
    </row>
    <row r="9">
      <c r="A9" s="3" t="s">
        <v>28</v>
      </c>
      <c r="B9" s="3" t="s">
        <v>14</v>
      </c>
      <c r="C9" s="3">
        <v>3333.0</v>
      </c>
      <c r="D9" s="3">
        <v>520.0</v>
      </c>
      <c r="E9" s="3">
        <v>793.0</v>
      </c>
      <c r="F9" s="3">
        <v>2342.0</v>
      </c>
      <c r="G9" s="3">
        <v>171.0</v>
      </c>
      <c r="H9" s="3" t="s">
        <v>22</v>
      </c>
      <c r="I9" s="3" t="s">
        <v>19</v>
      </c>
      <c r="J9" s="3">
        <f t="shared" si="1"/>
        <v>91</v>
      </c>
      <c r="K9" s="3">
        <f t="shared" si="2"/>
        <v>19.2</v>
      </c>
      <c r="L9" s="3" t="str">
        <f t="shared" si="3"/>
        <v>Reservoir Review</v>
      </c>
    </row>
    <row r="10">
      <c r="A10" s="3" t="s">
        <v>29</v>
      </c>
      <c r="B10" s="3" t="s">
        <v>30</v>
      </c>
      <c r="C10" s="3">
        <v>1126.0</v>
      </c>
      <c r="D10" s="3">
        <v>388.0</v>
      </c>
      <c r="E10" s="3">
        <v>606.0</v>
      </c>
      <c r="F10" s="3">
        <v>2978.0</v>
      </c>
      <c r="G10" s="3">
        <v>178.0</v>
      </c>
      <c r="H10" s="3" t="s">
        <v>20</v>
      </c>
      <c r="I10" s="3" t="s">
        <v>16</v>
      </c>
      <c r="J10" s="3">
        <f t="shared" si="1"/>
        <v>88</v>
      </c>
      <c r="K10" s="3">
        <f t="shared" si="2"/>
        <v>35</v>
      </c>
      <c r="L10" s="3" t="str">
        <f t="shared" si="3"/>
        <v>Workover Candidate</v>
      </c>
    </row>
    <row r="11">
      <c r="A11" s="3" t="s">
        <v>31</v>
      </c>
      <c r="B11" s="3" t="s">
        <v>30</v>
      </c>
      <c r="C11" s="3">
        <v>1466.0</v>
      </c>
      <c r="D11" s="3">
        <v>529.0</v>
      </c>
      <c r="E11" s="3">
        <v>1127.0</v>
      </c>
      <c r="F11" s="3">
        <v>2629.0</v>
      </c>
      <c r="G11" s="3">
        <v>191.0</v>
      </c>
      <c r="H11" s="3" t="s">
        <v>20</v>
      </c>
      <c r="I11" s="3" t="s">
        <v>16</v>
      </c>
      <c r="J11" s="3">
        <f t="shared" si="1"/>
        <v>88</v>
      </c>
      <c r="K11" s="3">
        <f t="shared" si="2"/>
        <v>43.5</v>
      </c>
      <c r="L11" s="3" t="str">
        <f t="shared" si="3"/>
        <v>Workover Candidate</v>
      </c>
    </row>
    <row r="12">
      <c r="A12" s="3" t="s">
        <v>32</v>
      </c>
      <c r="B12" s="3" t="s">
        <v>14</v>
      </c>
      <c r="C12" s="3">
        <v>3454.0</v>
      </c>
      <c r="D12" s="3">
        <v>223.0</v>
      </c>
      <c r="E12" s="3">
        <v>750.0</v>
      </c>
      <c r="F12" s="3">
        <v>3293.0</v>
      </c>
      <c r="G12" s="3">
        <v>193.0</v>
      </c>
      <c r="H12" s="3" t="s">
        <v>15</v>
      </c>
      <c r="I12" s="3" t="s">
        <v>19</v>
      </c>
      <c r="J12" s="3">
        <f t="shared" si="1"/>
        <v>94</v>
      </c>
      <c r="K12" s="3">
        <f t="shared" si="2"/>
        <v>17.8</v>
      </c>
      <c r="L12" s="3" t="str">
        <f t="shared" si="3"/>
        <v>Monitor</v>
      </c>
    </row>
    <row r="13">
      <c r="A13" s="3" t="s">
        <v>33</v>
      </c>
      <c r="B13" s="3" t="s">
        <v>30</v>
      </c>
      <c r="C13" s="3">
        <v>2354.0</v>
      </c>
      <c r="D13" s="3">
        <v>426.0</v>
      </c>
      <c r="E13" s="3">
        <v>849.0</v>
      </c>
      <c r="F13" s="3">
        <v>2864.0</v>
      </c>
      <c r="G13" s="3">
        <v>194.0</v>
      </c>
      <c r="H13" s="3" t="s">
        <v>15</v>
      </c>
      <c r="I13" s="3" t="s">
        <v>19</v>
      </c>
      <c r="J13" s="3">
        <f t="shared" si="1"/>
        <v>94</v>
      </c>
      <c r="K13" s="3">
        <f t="shared" si="2"/>
        <v>26.5</v>
      </c>
      <c r="L13" s="3" t="str">
        <f t="shared" si="3"/>
        <v>Monitor</v>
      </c>
    </row>
    <row r="14">
      <c r="A14" s="3" t="s">
        <v>34</v>
      </c>
      <c r="B14" s="3" t="s">
        <v>18</v>
      </c>
      <c r="C14" s="3">
        <v>4097.0</v>
      </c>
      <c r="D14" s="3">
        <v>473.0</v>
      </c>
      <c r="E14" s="3">
        <v>1221.0</v>
      </c>
      <c r="F14" s="3">
        <v>2748.0</v>
      </c>
      <c r="G14" s="3">
        <v>172.0</v>
      </c>
      <c r="H14" s="3" t="s">
        <v>15</v>
      </c>
      <c r="I14" s="3" t="s">
        <v>16</v>
      </c>
      <c r="J14" s="3">
        <f t="shared" si="1"/>
        <v>94</v>
      </c>
      <c r="K14" s="3">
        <f t="shared" si="2"/>
        <v>23</v>
      </c>
      <c r="L14" s="3" t="str">
        <f t="shared" si="3"/>
        <v>Water Shutoff Study</v>
      </c>
    </row>
    <row r="15">
      <c r="A15" s="3" t="s">
        <v>35</v>
      </c>
      <c r="B15" s="3" t="s">
        <v>14</v>
      </c>
      <c r="C15" s="3">
        <v>2088.0</v>
      </c>
      <c r="D15" s="3">
        <v>367.0</v>
      </c>
      <c r="E15" s="3">
        <v>1422.0</v>
      </c>
      <c r="F15" s="3">
        <v>3010.0</v>
      </c>
      <c r="G15" s="3">
        <v>190.0</v>
      </c>
      <c r="H15" s="3" t="s">
        <v>20</v>
      </c>
      <c r="I15" s="3" t="s">
        <v>19</v>
      </c>
      <c r="J15" s="3">
        <f t="shared" si="1"/>
        <v>88</v>
      </c>
      <c r="K15" s="3">
        <f t="shared" si="2"/>
        <v>40.5</v>
      </c>
      <c r="L15" s="3" t="str">
        <f t="shared" si="3"/>
        <v>Water Shutoff Study</v>
      </c>
    </row>
    <row r="16">
      <c r="A16" s="3" t="s">
        <v>36</v>
      </c>
      <c r="B16" s="3" t="s">
        <v>30</v>
      </c>
      <c r="C16" s="3">
        <v>1371.0</v>
      </c>
      <c r="D16" s="3">
        <v>402.0</v>
      </c>
      <c r="E16" s="3">
        <v>938.0</v>
      </c>
      <c r="F16" s="3">
        <v>3077.0</v>
      </c>
      <c r="G16" s="3">
        <v>188.0</v>
      </c>
      <c r="H16" s="3" t="s">
        <v>20</v>
      </c>
      <c r="I16" s="3" t="s">
        <v>27</v>
      </c>
      <c r="J16" s="3">
        <f t="shared" si="1"/>
        <v>88</v>
      </c>
      <c r="K16" s="3">
        <f t="shared" si="2"/>
        <v>40.6</v>
      </c>
      <c r="L16" s="3" t="str">
        <f t="shared" si="3"/>
        <v>Workover Candidate</v>
      </c>
    </row>
    <row r="17">
      <c r="A17" s="3" t="s">
        <v>37</v>
      </c>
      <c r="B17" s="3" t="s">
        <v>18</v>
      </c>
      <c r="C17" s="3">
        <v>1366.0</v>
      </c>
      <c r="D17" s="3">
        <v>671.0</v>
      </c>
      <c r="E17" s="3">
        <v>1410.0</v>
      </c>
      <c r="F17" s="3">
        <v>2386.0</v>
      </c>
      <c r="G17" s="3">
        <v>194.0</v>
      </c>
      <c r="H17" s="3" t="s">
        <v>15</v>
      </c>
      <c r="I17" s="3" t="s">
        <v>19</v>
      </c>
      <c r="J17" s="3">
        <f t="shared" si="1"/>
        <v>94</v>
      </c>
      <c r="K17" s="3">
        <f t="shared" si="2"/>
        <v>50.8</v>
      </c>
      <c r="L17" s="3" t="str">
        <f t="shared" si="3"/>
        <v>Workover Candidate</v>
      </c>
    </row>
    <row r="18">
      <c r="A18" s="3" t="s">
        <v>38</v>
      </c>
      <c r="B18" s="3" t="s">
        <v>18</v>
      </c>
      <c r="C18" s="3">
        <v>3370.0</v>
      </c>
      <c r="D18" s="3">
        <v>313.0</v>
      </c>
      <c r="E18" s="3">
        <v>1264.0</v>
      </c>
      <c r="F18" s="3">
        <v>2330.0</v>
      </c>
      <c r="G18" s="3">
        <v>182.0</v>
      </c>
      <c r="H18" s="3" t="s">
        <v>20</v>
      </c>
      <c r="I18" s="3" t="s">
        <v>16</v>
      </c>
      <c r="J18" s="3">
        <f t="shared" si="1"/>
        <v>88</v>
      </c>
      <c r="K18" s="3">
        <f t="shared" si="2"/>
        <v>27.3</v>
      </c>
      <c r="L18" s="3" t="str">
        <f t="shared" si="3"/>
        <v>Water Shutoff Study</v>
      </c>
    </row>
    <row r="19">
      <c r="A19" s="3" t="s">
        <v>39</v>
      </c>
      <c r="B19" s="3" t="s">
        <v>30</v>
      </c>
      <c r="C19" s="3">
        <v>2967.0</v>
      </c>
      <c r="D19" s="3">
        <v>407.0</v>
      </c>
      <c r="E19" s="3">
        <v>423.0</v>
      </c>
      <c r="F19" s="3">
        <v>2434.0</v>
      </c>
      <c r="G19" s="3">
        <v>191.0</v>
      </c>
      <c r="H19" s="3" t="s">
        <v>22</v>
      </c>
      <c r="I19" s="3" t="s">
        <v>27</v>
      </c>
      <c r="J19" s="3">
        <f t="shared" si="1"/>
        <v>91</v>
      </c>
      <c r="K19" s="3">
        <f t="shared" si="2"/>
        <v>12.5</v>
      </c>
      <c r="L19" s="3" t="str">
        <f t="shared" si="3"/>
        <v>Monitor</v>
      </c>
    </row>
    <row r="20">
      <c r="A20" s="3" t="s">
        <v>40</v>
      </c>
      <c r="B20" s="3" t="s">
        <v>14</v>
      </c>
      <c r="C20" s="3">
        <v>2193.0</v>
      </c>
      <c r="D20" s="3">
        <v>264.0</v>
      </c>
      <c r="E20" s="3">
        <v>1001.0</v>
      </c>
      <c r="F20" s="3">
        <v>3090.0</v>
      </c>
      <c r="G20" s="3">
        <v>175.0</v>
      </c>
      <c r="H20" s="3" t="s">
        <v>20</v>
      </c>
      <c r="I20" s="3" t="s">
        <v>19</v>
      </c>
      <c r="J20" s="3">
        <f t="shared" si="1"/>
        <v>88</v>
      </c>
      <c r="K20" s="3">
        <f t="shared" si="2"/>
        <v>31.3</v>
      </c>
      <c r="L20" s="3" t="str">
        <f t="shared" si="3"/>
        <v>Monitor</v>
      </c>
    </row>
    <row r="21" ht="15.75" customHeight="1">
      <c r="A21" s="3" t="s">
        <v>41</v>
      </c>
      <c r="B21" s="3" t="s">
        <v>14</v>
      </c>
      <c r="C21" s="3">
        <v>4387.0</v>
      </c>
      <c r="D21" s="3">
        <v>419.0</v>
      </c>
      <c r="E21" s="3">
        <v>1425.0</v>
      </c>
      <c r="F21" s="3">
        <v>2565.0</v>
      </c>
      <c r="G21" s="3">
        <v>186.0</v>
      </c>
      <c r="H21" s="3" t="s">
        <v>15</v>
      </c>
      <c r="I21" s="3" t="s">
        <v>16</v>
      </c>
      <c r="J21" s="3">
        <f t="shared" si="1"/>
        <v>94</v>
      </c>
      <c r="K21" s="3">
        <f t="shared" si="2"/>
        <v>24.5</v>
      </c>
      <c r="L21" s="3" t="str">
        <f t="shared" si="3"/>
        <v>Water Shutoff Study</v>
      </c>
    </row>
    <row r="22" ht="15.75" customHeight="1">
      <c r="A22" s="3" t="s">
        <v>42</v>
      </c>
      <c r="B22" s="3" t="s">
        <v>30</v>
      </c>
      <c r="C22" s="3">
        <v>4247.0</v>
      </c>
      <c r="D22" s="3">
        <v>669.0</v>
      </c>
      <c r="E22" s="3">
        <v>807.0</v>
      </c>
      <c r="F22" s="3">
        <v>2513.0</v>
      </c>
      <c r="G22" s="3">
        <v>181.0</v>
      </c>
      <c r="H22" s="3" t="s">
        <v>15</v>
      </c>
      <c r="I22" s="3" t="s">
        <v>16</v>
      </c>
      <c r="J22" s="3">
        <f t="shared" si="1"/>
        <v>94</v>
      </c>
      <c r="K22" s="3">
        <f t="shared" si="2"/>
        <v>16</v>
      </c>
      <c r="L22" s="3" t="str">
        <f t="shared" si="3"/>
        <v>Restart Evaluation</v>
      </c>
    </row>
    <row r="23" ht="15.75" customHeight="1">
      <c r="A23" s="3" t="s">
        <v>43</v>
      </c>
      <c r="B23" s="3" t="s">
        <v>14</v>
      </c>
      <c r="C23" s="3">
        <v>802.0</v>
      </c>
      <c r="D23" s="3">
        <v>481.0</v>
      </c>
      <c r="E23" s="3">
        <v>1400.0</v>
      </c>
      <c r="F23" s="3">
        <v>2239.0</v>
      </c>
      <c r="G23" s="3">
        <v>173.0</v>
      </c>
      <c r="H23" s="3" t="s">
        <v>20</v>
      </c>
      <c r="I23" s="3" t="s">
        <v>27</v>
      </c>
      <c r="J23" s="3">
        <f t="shared" si="1"/>
        <v>88</v>
      </c>
      <c r="K23" s="3">
        <f t="shared" si="2"/>
        <v>63.6</v>
      </c>
      <c r="L23" s="3" t="str">
        <f t="shared" si="3"/>
        <v>Workover Candidate</v>
      </c>
    </row>
    <row r="24" ht="15.75" customHeight="1">
      <c r="A24" s="3" t="s">
        <v>44</v>
      </c>
      <c r="B24" s="3" t="s">
        <v>18</v>
      </c>
      <c r="C24" s="3">
        <v>1037.0</v>
      </c>
      <c r="D24" s="3">
        <v>396.0</v>
      </c>
      <c r="E24" s="3">
        <v>561.0</v>
      </c>
      <c r="F24" s="3">
        <v>2375.0</v>
      </c>
      <c r="G24" s="3">
        <v>193.0</v>
      </c>
      <c r="H24" s="3" t="s">
        <v>20</v>
      </c>
      <c r="I24" s="3" t="s">
        <v>19</v>
      </c>
      <c r="J24" s="3">
        <f t="shared" si="1"/>
        <v>88</v>
      </c>
      <c r="K24" s="3">
        <f t="shared" si="2"/>
        <v>35.1</v>
      </c>
      <c r="L24" s="3" t="str">
        <f t="shared" si="3"/>
        <v>Workover Candidate</v>
      </c>
    </row>
    <row r="25" ht="15.75" customHeight="1">
      <c r="A25" s="3" t="s">
        <v>45</v>
      </c>
      <c r="B25" s="3" t="s">
        <v>14</v>
      </c>
      <c r="C25" s="3">
        <v>3936.0</v>
      </c>
      <c r="D25" s="3">
        <v>278.0</v>
      </c>
      <c r="E25" s="3">
        <v>662.0</v>
      </c>
      <c r="F25" s="3">
        <v>3173.0</v>
      </c>
      <c r="G25" s="3">
        <v>187.0</v>
      </c>
      <c r="H25" s="3" t="s">
        <v>15</v>
      </c>
      <c r="I25" s="3" t="s">
        <v>27</v>
      </c>
      <c r="J25" s="3">
        <f t="shared" si="1"/>
        <v>94</v>
      </c>
      <c r="K25" s="3">
        <f t="shared" si="2"/>
        <v>14.4</v>
      </c>
      <c r="L25" s="3" t="str">
        <f t="shared" si="3"/>
        <v>Monitor</v>
      </c>
    </row>
    <row r="26" ht="15.75" customHeight="1">
      <c r="A26" s="3" t="s">
        <v>46</v>
      </c>
      <c r="B26" s="3" t="s">
        <v>14</v>
      </c>
      <c r="C26" s="3">
        <v>4373.0</v>
      </c>
      <c r="D26" s="3">
        <v>583.0</v>
      </c>
      <c r="E26" s="3">
        <v>833.0</v>
      </c>
      <c r="F26" s="3">
        <v>2611.0</v>
      </c>
      <c r="G26" s="3">
        <v>192.0</v>
      </c>
      <c r="H26" s="3" t="s">
        <v>20</v>
      </c>
      <c r="I26" s="3" t="s">
        <v>27</v>
      </c>
      <c r="J26" s="3">
        <f t="shared" si="1"/>
        <v>88</v>
      </c>
      <c r="K26" s="3">
        <f t="shared" si="2"/>
        <v>16</v>
      </c>
      <c r="L26" s="3" t="str">
        <f t="shared" si="3"/>
        <v>Monitor</v>
      </c>
    </row>
    <row r="27" ht="15.75" customHeight="1">
      <c r="A27" s="3" t="s">
        <v>47</v>
      </c>
      <c r="B27" s="3" t="s">
        <v>14</v>
      </c>
      <c r="C27" s="3">
        <v>3461.0</v>
      </c>
      <c r="D27" s="3">
        <v>532.0</v>
      </c>
      <c r="E27" s="3">
        <v>1297.0</v>
      </c>
      <c r="F27" s="3">
        <v>3259.0</v>
      </c>
      <c r="G27" s="3">
        <v>184.0</v>
      </c>
      <c r="H27" s="3" t="s">
        <v>15</v>
      </c>
      <c r="I27" s="3" t="s">
        <v>19</v>
      </c>
      <c r="J27" s="3">
        <f t="shared" si="1"/>
        <v>94</v>
      </c>
      <c r="K27" s="3">
        <f t="shared" si="2"/>
        <v>27.3</v>
      </c>
      <c r="L27" s="3" t="str">
        <f t="shared" si="3"/>
        <v>Water Shutoff Study</v>
      </c>
    </row>
    <row r="28" ht="15.75" customHeight="1">
      <c r="A28" s="3" t="s">
        <v>48</v>
      </c>
      <c r="B28" s="3" t="s">
        <v>18</v>
      </c>
      <c r="C28" s="3">
        <v>1062.0</v>
      </c>
      <c r="D28" s="3">
        <v>496.0</v>
      </c>
      <c r="E28" s="3">
        <v>443.0</v>
      </c>
      <c r="F28" s="3">
        <v>2671.0</v>
      </c>
      <c r="G28" s="3">
        <v>188.0</v>
      </c>
      <c r="H28" s="3" t="s">
        <v>15</v>
      </c>
      <c r="I28" s="3" t="s">
        <v>19</v>
      </c>
      <c r="J28" s="3">
        <f t="shared" si="1"/>
        <v>94</v>
      </c>
      <c r="K28" s="3">
        <f t="shared" si="2"/>
        <v>29.4</v>
      </c>
      <c r="L28" s="3" t="str">
        <f t="shared" si="3"/>
        <v>Workover Candidate</v>
      </c>
    </row>
    <row r="29" ht="15.75" customHeight="1">
      <c r="A29" s="3" t="s">
        <v>49</v>
      </c>
      <c r="B29" s="3" t="s">
        <v>18</v>
      </c>
      <c r="C29" s="3">
        <v>3699.0</v>
      </c>
      <c r="D29" s="3">
        <v>210.0</v>
      </c>
      <c r="E29" s="3">
        <v>868.0</v>
      </c>
      <c r="F29" s="3">
        <v>2338.0</v>
      </c>
      <c r="G29" s="3">
        <v>171.0</v>
      </c>
      <c r="H29" s="3" t="s">
        <v>20</v>
      </c>
      <c r="I29" s="3" t="s">
        <v>19</v>
      </c>
      <c r="J29" s="3">
        <f t="shared" si="1"/>
        <v>88</v>
      </c>
      <c r="K29" s="3">
        <f t="shared" si="2"/>
        <v>19</v>
      </c>
      <c r="L29" s="3" t="str">
        <f t="shared" si="3"/>
        <v>Reservoir Review</v>
      </c>
    </row>
    <row r="30" ht="15.75" customHeight="1">
      <c r="A30" s="3" t="s">
        <v>50</v>
      </c>
      <c r="B30" s="3" t="s">
        <v>14</v>
      </c>
      <c r="C30" s="3">
        <v>1774.0</v>
      </c>
      <c r="D30" s="3">
        <v>435.0</v>
      </c>
      <c r="E30" s="3">
        <v>1394.0</v>
      </c>
      <c r="F30" s="3">
        <v>2638.0</v>
      </c>
      <c r="G30" s="3">
        <v>187.0</v>
      </c>
      <c r="H30" s="3" t="s">
        <v>15</v>
      </c>
      <c r="I30" s="3" t="s">
        <v>16</v>
      </c>
      <c r="J30" s="3">
        <f t="shared" si="1"/>
        <v>94</v>
      </c>
      <c r="K30" s="3">
        <f t="shared" si="2"/>
        <v>44</v>
      </c>
      <c r="L30" s="3" t="str">
        <f t="shared" si="3"/>
        <v>Water Shutoff Study</v>
      </c>
    </row>
    <row r="31" ht="15.75" customHeight="1">
      <c r="A31" s="3" t="s">
        <v>51</v>
      </c>
      <c r="B31" s="3" t="s">
        <v>14</v>
      </c>
      <c r="C31" s="3">
        <v>3160.0</v>
      </c>
      <c r="D31" s="3">
        <v>634.0</v>
      </c>
      <c r="E31" s="3">
        <v>897.0</v>
      </c>
      <c r="F31" s="3">
        <v>3168.0</v>
      </c>
      <c r="G31" s="3">
        <v>195.0</v>
      </c>
      <c r="H31" s="3" t="s">
        <v>20</v>
      </c>
      <c r="I31" s="3" t="s">
        <v>19</v>
      </c>
      <c r="J31" s="3">
        <f t="shared" si="1"/>
        <v>88</v>
      </c>
      <c r="K31" s="3">
        <f t="shared" si="2"/>
        <v>22.1</v>
      </c>
      <c r="L31" s="3" t="str">
        <f t="shared" si="3"/>
        <v>Monitor</v>
      </c>
    </row>
    <row r="32" ht="15.75" customHeight="1">
      <c r="A32" s="3" t="s">
        <v>52</v>
      </c>
      <c r="B32" s="3" t="s">
        <v>18</v>
      </c>
      <c r="C32" s="3">
        <v>1197.0</v>
      </c>
      <c r="D32" s="3">
        <v>591.0</v>
      </c>
      <c r="E32" s="3">
        <v>1125.0</v>
      </c>
      <c r="F32" s="3">
        <v>3067.0</v>
      </c>
      <c r="G32" s="3">
        <v>183.0</v>
      </c>
      <c r="H32" s="3" t="s">
        <v>20</v>
      </c>
      <c r="I32" s="3" t="s">
        <v>16</v>
      </c>
      <c r="J32" s="3">
        <f t="shared" si="1"/>
        <v>88</v>
      </c>
      <c r="K32" s="3">
        <f t="shared" si="2"/>
        <v>48.4</v>
      </c>
      <c r="L32" s="3" t="str">
        <f t="shared" si="3"/>
        <v>Workover Candidate</v>
      </c>
    </row>
    <row r="33" ht="15.75" customHeight="1">
      <c r="A33" s="3" t="s">
        <v>53</v>
      </c>
      <c r="B33" s="3" t="s">
        <v>18</v>
      </c>
      <c r="C33" s="3">
        <v>3558.0</v>
      </c>
      <c r="D33" s="3">
        <v>250.0</v>
      </c>
      <c r="E33" s="3">
        <v>524.0</v>
      </c>
      <c r="F33" s="3">
        <v>3024.0</v>
      </c>
      <c r="G33" s="3">
        <v>193.0</v>
      </c>
      <c r="H33" s="3" t="s">
        <v>20</v>
      </c>
      <c r="I33" s="3" t="s">
        <v>19</v>
      </c>
      <c r="J33" s="3">
        <f t="shared" si="1"/>
        <v>88</v>
      </c>
      <c r="K33" s="3">
        <f t="shared" si="2"/>
        <v>12.8</v>
      </c>
      <c r="L33" s="3" t="str">
        <f t="shared" si="3"/>
        <v>Maintain Current Operations</v>
      </c>
    </row>
    <row r="34" ht="15.75" customHeight="1">
      <c r="A34" s="3" t="s">
        <v>54</v>
      </c>
      <c r="B34" s="3" t="s">
        <v>18</v>
      </c>
      <c r="C34" s="3">
        <v>1584.0</v>
      </c>
      <c r="D34" s="3">
        <v>344.0</v>
      </c>
      <c r="E34" s="3">
        <v>1498.0</v>
      </c>
      <c r="F34" s="3">
        <v>3118.0</v>
      </c>
      <c r="G34" s="3">
        <v>174.0</v>
      </c>
      <c r="H34" s="3" t="s">
        <v>20</v>
      </c>
      <c r="I34" s="3" t="s">
        <v>19</v>
      </c>
      <c r="J34" s="3">
        <f t="shared" si="1"/>
        <v>88</v>
      </c>
      <c r="K34" s="3">
        <f t="shared" si="2"/>
        <v>48.6</v>
      </c>
      <c r="L34" s="3" t="str">
        <f t="shared" si="3"/>
        <v>Water Shutoff Study</v>
      </c>
    </row>
    <row r="35" ht="15.75" customHeight="1">
      <c r="A35" s="3" t="s">
        <v>55</v>
      </c>
      <c r="B35" s="3" t="s">
        <v>30</v>
      </c>
      <c r="C35" s="3">
        <v>2694.0</v>
      </c>
      <c r="D35" s="3">
        <v>405.0</v>
      </c>
      <c r="E35" s="3">
        <v>554.0</v>
      </c>
      <c r="F35" s="3">
        <v>3107.0</v>
      </c>
      <c r="G35" s="3">
        <v>195.0</v>
      </c>
      <c r="H35" s="3" t="s">
        <v>22</v>
      </c>
      <c r="I35" s="3" t="s">
        <v>19</v>
      </c>
      <c r="J35" s="3">
        <f t="shared" si="1"/>
        <v>91</v>
      </c>
      <c r="K35" s="3">
        <f t="shared" si="2"/>
        <v>17.1</v>
      </c>
      <c r="L35" s="3" t="str">
        <f t="shared" si="3"/>
        <v>Monitor</v>
      </c>
    </row>
    <row r="36" ht="15.75" customHeight="1">
      <c r="A36" s="3" t="s">
        <v>56</v>
      </c>
      <c r="B36" s="3" t="s">
        <v>18</v>
      </c>
      <c r="C36" s="3">
        <v>3471.0</v>
      </c>
      <c r="D36" s="3">
        <v>703.0</v>
      </c>
      <c r="E36" s="3">
        <v>430.0</v>
      </c>
      <c r="F36" s="3">
        <v>2391.0</v>
      </c>
      <c r="G36" s="3">
        <v>194.0</v>
      </c>
      <c r="H36" s="3" t="s">
        <v>15</v>
      </c>
      <c r="I36" s="3" t="s">
        <v>19</v>
      </c>
      <c r="J36" s="3">
        <f t="shared" si="1"/>
        <v>94</v>
      </c>
      <c r="K36" s="3">
        <f t="shared" si="2"/>
        <v>11</v>
      </c>
      <c r="L36" s="3" t="str">
        <f t="shared" si="3"/>
        <v>Reservoir Review</v>
      </c>
    </row>
    <row r="37" ht="15.75" customHeight="1">
      <c r="A37" s="3" t="s">
        <v>57</v>
      </c>
      <c r="B37" s="3" t="s">
        <v>30</v>
      </c>
      <c r="C37" s="3">
        <v>2789.0</v>
      </c>
      <c r="D37" s="3">
        <v>642.0</v>
      </c>
      <c r="E37" s="3">
        <v>837.0</v>
      </c>
      <c r="F37" s="3">
        <v>3021.0</v>
      </c>
      <c r="G37" s="3">
        <v>171.0</v>
      </c>
      <c r="H37" s="3" t="s">
        <v>15</v>
      </c>
      <c r="I37" s="3" t="s">
        <v>27</v>
      </c>
      <c r="J37" s="3">
        <f t="shared" si="1"/>
        <v>94</v>
      </c>
      <c r="K37" s="3">
        <f t="shared" si="2"/>
        <v>23.1</v>
      </c>
      <c r="L37" s="3" t="str">
        <f t="shared" si="3"/>
        <v>Monitor</v>
      </c>
    </row>
    <row r="38" ht="15.75" customHeight="1">
      <c r="A38" s="3" t="s">
        <v>58</v>
      </c>
      <c r="B38" s="3" t="s">
        <v>18</v>
      </c>
      <c r="C38" s="3">
        <v>2399.0</v>
      </c>
      <c r="D38" s="3">
        <v>421.0</v>
      </c>
      <c r="E38" s="3">
        <v>1331.0</v>
      </c>
      <c r="F38" s="3">
        <v>2784.0</v>
      </c>
      <c r="G38" s="3">
        <v>183.0</v>
      </c>
      <c r="H38" s="3" t="s">
        <v>22</v>
      </c>
      <c r="I38" s="3" t="s">
        <v>16</v>
      </c>
      <c r="J38" s="3">
        <f t="shared" si="1"/>
        <v>91</v>
      </c>
      <c r="K38" s="3">
        <f t="shared" si="2"/>
        <v>35.7</v>
      </c>
      <c r="L38" s="3" t="str">
        <f t="shared" si="3"/>
        <v>Water Shutoff Study</v>
      </c>
    </row>
    <row r="39" ht="15.75" customHeight="1">
      <c r="A39" s="3" t="s">
        <v>59</v>
      </c>
      <c r="B39" s="3" t="s">
        <v>14</v>
      </c>
      <c r="C39" s="3">
        <v>3511.0</v>
      </c>
      <c r="D39" s="3">
        <v>648.0</v>
      </c>
      <c r="E39" s="3">
        <v>717.0</v>
      </c>
      <c r="F39" s="3">
        <v>2588.0</v>
      </c>
      <c r="G39" s="3">
        <v>179.0</v>
      </c>
      <c r="H39" s="3" t="s">
        <v>15</v>
      </c>
      <c r="I39" s="3" t="s">
        <v>19</v>
      </c>
      <c r="J39" s="3">
        <f t="shared" si="1"/>
        <v>94</v>
      </c>
      <c r="K39" s="3">
        <f t="shared" si="2"/>
        <v>17</v>
      </c>
      <c r="L39" s="3" t="str">
        <f t="shared" si="3"/>
        <v>Maintain Current Operations</v>
      </c>
    </row>
    <row r="40" ht="15.75" customHeight="1">
      <c r="A40" s="3" t="s">
        <v>60</v>
      </c>
      <c r="B40" s="3" t="s">
        <v>14</v>
      </c>
      <c r="C40" s="3">
        <v>3813.0</v>
      </c>
      <c r="D40" s="3">
        <v>705.0</v>
      </c>
      <c r="E40" s="3">
        <v>524.0</v>
      </c>
      <c r="F40" s="3">
        <v>2842.0</v>
      </c>
      <c r="G40" s="3">
        <v>171.0</v>
      </c>
      <c r="H40" s="3" t="s">
        <v>15</v>
      </c>
      <c r="I40" s="3" t="s">
        <v>16</v>
      </c>
      <c r="J40" s="3">
        <f t="shared" si="1"/>
        <v>94</v>
      </c>
      <c r="K40" s="3">
        <f t="shared" si="2"/>
        <v>12.1</v>
      </c>
      <c r="L40" s="3" t="str">
        <f t="shared" si="3"/>
        <v>Restart Evaluation</v>
      </c>
    </row>
    <row r="41" ht="15.75" customHeight="1">
      <c r="A41" s="3" t="s">
        <v>61</v>
      </c>
      <c r="B41" s="3" t="s">
        <v>30</v>
      </c>
      <c r="C41" s="3">
        <v>2859.0</v>
      </c>
      <c r="D41" s="3">
        <v>693.0</v>
      </c>
      <c r="E41" s="3">
        <v>722.0</v>
      </c>
      <c r="F41" s="3">
        <v>2316.0</v>
      </c>
      <c r="G41" s="3">
        <v>186.0</v>
      </c>
      <c r="H41" s="3" t="s">
        <v>15</v>
      </c>
      <c r="I41" s="3" t="s">
        <v>19</v>
      </c>
      <c r="J41" s="3">
        <f t="shared" si="1"/>
        <v>94</v>
      </c>
      <c r="K41" s="3">
        <f t="shared" si="2"/>
        <v>20.2</v>
      </c>
      <c r="L41" s="3" t="str">
        <f t="shared" si="3"/>
        <v>Reservoir Review</v>
      </c>
    </row>
    <row r="42" ht="15.75" customHeight="1">
      <c r="A42" s="3" t="s">
        <v>62</v>
      </c>
      <c r="B42" s="3" t="s">
        <v>18</v>
      </c>
      <c r="C42" s="3">
        <v>3237.0</v>
      </c>
      <c r="D42" s="3">
        <v>219.0</v>
      </c>
      <c r="E42" s="3">
        <v>881.0</v>
      </c>
      <c r="F42" s="3">
        <v>3026.0</v>
      </c>
      <c r="G42" s="3">
        <v>173.0</v>
      </c>
      <c r="H42" s="3" t="s">
        <v>22</v>
      </c>
      <c r="I42" s="3" t="s">
        <v>19</v>
      </c>
      <c r="J42" s="3">
        <f t="shared" si="1"/>
        <v>91</v>
      </c>
      <c r="K42" s="3">
        <f t="shared" si="2"/>
        <v>21.4</v>
      </c>
      <c r="L42" s="3" t="str">
        <f t="shared" si="3"/>
        <v>Monitor</v>
      </c>
    </row>
    <row r="43" ht="15.75" customHeight="1">
      <c r="A43" s="3" t="s">
        <v>63</v>
      </c>
      <c r="B43" s="3" t="s">
        <v>14</v>
      </c>
      <c r="C43" s="3">
        <v>3235.0</v>
      </c>
      <c r="D43" s="3">
        <v>190.0</v>
      </c>
      <c r="E43" s="3">
        <v>567.0</v>
      </c>
      <c r="F43" s="3">
        <v>3058.0</v>
      </c>
      <c r="G43" s="3">
        <v>191.0</v>
      </c>
      <c r="H43" s="3" t="s">
        <v>22</v>
      </c>
      <c r="I43" s="3" t="s">
        <v>16</v>
      </c>
      <c r="J43" s="3">
        <f t="shared" si="1"/>
        <v>91</v>
      </c>
      <c r="K43" s="3">
        <f t="shared" si="2"/>
        <v>14.9</v>
      </c>
      <c r="L43" s="3" t="str">
        <f t="shared" si="3"/>
        <v>Restart Evaluation</v>
      </c>
    </row>
    <row r="44" ht="15.75" customHeight="1">
      <c r="A44" s="3" t="s">
        <v>64</v>
      </c>
      <c r="B44" s="3" t="s">
        <v>14</v>
      </c>
      <c r="C44" s="3">
        <v>2095.0</v>
      </c>
      <c r="D44" s="3">
        <v>417.0</v>
      </c>
      <c r="E44" s="3">
        <v>818.0</v>
      </c>
      <c r="F44" s="3">
        <v>2843.0</v>
      </c>
      <c r="G44" s="3">
        <v>177.0</v>
      </c>
      <c r="H44" s="3" t="s">
        <v>20</v>
      </c>
      <c r="I44" s="3" t="s">
        <v>27</v>
      </c>
      <c r="J44" s="3">
        <f t="shared" si="1"/>
        <v>88</v>
      </c>
      <c r="K44" s="3">
        <f t="shared" si="2"/>
        <v>28.1</v>
      </c>
      <c r="L44" s="3" t="str">
        <f t="shared" si="3"/>
        <v>Monitor</v>
      </c>
    </row>
    <row r="45" ht="15.75" customHeight="1">
      <c r="A45" s="3" t="s">
        <v>65</v>
      </c>
      <c r="B45" s="3" t="s">
        <v>18</v>
      </c>
      <c r="C45" s="3">
        <v>3551.0</v>
      </c>
      <c r="D45" s="3">
        <v>457.0</v>
      </c>
      <c r="E45" s="3">
        <v>1336.0</v>
      </c>
      <c r="F45" s="3">
        <v>2847.0</v>
      </c>
      <c r="G45" s="3">
        <v>194.0</v>
      </c>
      <c r="H45" s="3" t="s">
        <v>15</v>
      </c>
      <c r="I45" s="3" t="s">
        <v>19</v>
      </c>
      <c r="J45" s="3">
        <f t="shared" si="1"/>
        <v>94</v>
      </c>
      <c r="K45" s="3">
        <f t="shared" si="2"/>
        <v>27.3</v>
      </c>
      <c r="L45" s="3" t="str">
        <f t="shared" si="3"/>
        <v>Water Shutoff Study</v>
      </c>
    </row>
    <row r="46" ht="15.75" customHeight="1">
      <c r="A46" s="3" t="s">
        <v>66</v>
      </c>
      <c r="B46" s="3" t="s">
        <v>30</v>
      </c>
      <c r="C46" s="3">
        <v>3344.0</v>
      </c>
      <c r="D46" s="3">
        <v>726.0</v>
      </c>
      <c r="E46" s="3">
        <v>604.0</v>
      </c>
      <c r="F46" s="3">
        <v>2350.0</v>
      </c>
      <c r="G46" s="3">
        <v>187.0</v>
      </c>
      <c r="H46" s="3" t="s">
        <v>15</v>
      </c>
      <c r="I46" s="3" t="s">
        <v>16</v>
      </c>
      <c r="J46" s="3">
        <f t="shared" si="1"/>
        <v>94</v>
      </c>
      <c r="K46" s="3">
        <f t="shared" si="2"/>
        <v>15.3</v>
      </c>
      <c r="L46" s="3" t="str">
        <f t="shared" si="3"/>
        <v>Reservoir Review</v>
      </c>
    </row>
    <row r="47" ht="15.75" customHeight="1">
      <c r="A47" s="3" t="s">
        <v>67</v>
      </c>
      <c r="B47" s="3" t="s">
        <v>30</v>
      </c>
      <c r="C47" s="3">
        <v>1342.0</v>
      </c>
      <c r="D47" s="3">
        <v>507.0</v>
      </c>
      <c r="E47" s="3">
        <v>540.0</v>
      </c>
      <c r="F47" s="3">
        <v>2700.0</v>
      </c>
      <c r="G47" s="3">
        <v>181.0</v>
      </c>
      <c r="H47" s="3" t="s">
        <v>20</v>
      </c>
      <c r="I47" s="3" t="s">
        <v>19</v>
      </c>
      <c r="J47" s="3">
        <f t="shared" si="1"/>
        <v>88</v>
      </c>
      <c r="K47" s="3">
        <f t="shared" si="2"/>
        <v>28.7</v>
      </c>
      <c r="L47" s="3" t="str">
        <f t="shared" si="3"/>
        <v>Workover Candidate</v>
      </c>
    </row>
    <row r="48" ht="15.75" customHeight="1">
      <c r="A48" s="3" t="s">
        <v>68</v>
      </c>
      <c r="B48" s="3" t="s">
        <v>30</v>
      </c>
      <c r="C48" s="3">
        <v>4215.0</v>
      </c>
      <c r="D48" s="3">
        <v>706.0</v>
      </c>
      <c r="E48" s="3">
        <v>1019.0</v>
      </c>
      <c r="F48" s="3">
        <v>3283.0</v>
      </c>
      <c r="G48" s="3">
        <v>170.0</v>
      </c>
      <c r="H48" s="3" t="s">
        <v>22</v>
      </c>
      <c r="I48" s="3" t="s">
        <v>16</v>
      </c>
      <c r="J48" s="3">
        <f t="shared" si="1"/>
        <v>91</v>
      </c>
      <c r="K48" s="3">
        <f t="shared" si="2"/>
        <v>19.5</v>
      </c>
      <c r="L48" s="3" t="str">
        <f t="shared" si="3"/>
        <v>Restart Evaluation</v>
      </c>
    </row>
    <row r="49" ht="15.75" customHeight="1">
      <c r="A49" s="3" t="s">
        <v>69</v>
      </c>
      <c r="B49" s="3" t="s">
        <v>30</v>
      </c>
      <c r="C49" s="3">
        <v>3517.0</v>
      </c>
      <c r="D49" s="3">
        <v>256.0</v>
      </c>
      <c r="E49" s="3">
        <v>675.0</v>
      </c>
      <c r="F49" s="3">
        <v>2741.0</v>
      </c>
      <c r="G49" s="3">
        <v>173.0</v>
      </c>
      <c r="H49" s="3" t="s">
        <v>15</v>
      </c>
      <c r="I49" s="3" t="s">
        <v>16</v>
      </c>
      <c r="J49" s="3">
        <f t="shared" si="1"/>
        <v>94</v>
      </c>
      <c r="K49" s="3">
        <f t="shared" si="2"/>
        <v>16.1</v>
      </c>
      <c r="L49" s="3" t="str">
        <f t="shared" si="3"/>
        <v>Restart Evaluation</v>
      </c>
    </row>
    <row r="50" ht="15.75" customHeight="1">
      <c r="A50" s="3" t="s">
        <v>70</v>
      </c>
      <c r="B50" s="3" t="s">
        <v>14</v>
      </c>
      <c r="C50" s="3">
        <v>1436.0</v>
      </c>
      <c r="D50" s="3">
        <v>428.0</v>
      </c>
      <c r="E50" s="3">
        <v>977.0</v>
      </c>
      <c r="F50" s="3">
        <v>2631.0</v>
      </c>
      <c r="G50" s="3">
        <v>192.0</v>
      </c>
      <c r="H50" s="3" t="s">
        <v>20</v>
      </c>
      <c r="I50" s="3" t="s">
        <v>19</v>
      </c>
      <c r="J50" s="3">
        <f t="shared" si="1"/>
        <v>88</v>
      </c>
      <c r="K50" s="3">
        <f t="shared" si="2"/>
        <v>40.5</v>
      </c>
      <c r="L50" s="3" t="str">
        <f t="shared" si="3"/>
        <v>Workover Candidate</v>
      </c>
    </row>
    <row r="51" ht="15.75" customHeight="1">
      <c r="A51" s="3" t="s">
        <v>71</v>
      </c>
      <c r="B51" s="3" t="s">
        <v>14</v>
      </c>
      <c r="C51" s="3">
        <v>3397.0</v>
      </c>
      <c r="D51" s="3">
        <v>420.0</v>
      </c>
      <c r="E51" s="3">
        <v>1435.0</v>
      </c>
      <c r="F51" s="3">
        <v>3200.0</v>
      </c>
      <c r="G51" s="3">
        <v>178.0</v>
      </c>
      <c r="H51" s="3" t="s">
        <v>15</v>
      </c>
      <c r="I51" s="3" t="s">
        <v>19</v>
      </c>
      <c r="J51" s="3">
        <f t="shared" si="1"/>
        <v>94</v>
      </c>
      <c r="K51" s="3">
        <f t="shared" si="2"/>
        <v>29.7</v>
      </c>
      <c r="L51" s="3" t="str">
        <f t="shared" si="3"/>
        <v>Water Shutoff Study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51">
    <cfRule type="cellIs" dxfId="0" priority="1" operator="lessThan">
      <formula>1500</formula>
    </cfRule>
  </conditionalFormatting>
  <conditionalFormatting sqref="C2:C51">
    <cfRule type="cellIs" dxfId="1" priority="2" operator="greaterThan">
      <formula>3500</formula>
    </cfRule>
  </conditionalFormatting>
  <conditionalFormatting sqref="E2:E51">
    <cfRule type="cellIs" dxfId="2" priority="3" operator="greaterThan">
      <formula>1000</formula>
    </cfRule>
  </conditionalFormatting>
  <conditionalFormatting sqref="F2:F51">
    <cfRule type="cellIs" dxfId="3" priority="4" operator="greaterThan">
      <formula>3100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26" width="8.71"/>
  </cols>
  <sheetData>
    <row r="1">
      <c r="A1" s="4" t="s">
        <v>72</v>
      </c>
      <c r="B1" s="5">
        <f>SUM('Production Data'!C2:C51)</f>
        <v>135032</v>
      </c>
    </row>
    <row r="2">
      <c r="A2" s="4" t="s">
        <v>73</v>
      </c>
      <c r="B2" s="5">
        <f>AVERAGE('Production Data'!C2:C51)</f>
        <v>2700.64</v>
      </c>
    </row>
    <row r="3">
      <c r="A3" s="4" t="s">
        <v>74</v>
      </c>
      <c r="B3" s="5" t="str">
        <f t="array" ref="B3">INDEX('Production Data'!A2:A51,MATCH(MAX('Production Data'!C2:C51),'Production Data'!C2:C51,0))</f>
        <v>W020</v>
      </c>
    </row>
    <row r="4">
      <c r="A4" s="4" t="s">
        <v>75</v>
      </c>
      <c r="B4" s="5" t="str">
        <f t="array" ref="B4">INDEX('Production Data'!A2:A51,MATCH(MIN('Production Data'!C2:C51),'Production Data'!C2:C51,0))</f>
        <v>W022</v>
      </c>
    </row>
    <row r="5">
      <c r="A5" s="4" t="s">
        <v>76</v>
      </c>
      <c r="B5" s="5">
        <f>COUNTIF('Production Data'!I2:I51,"Active")</f>
        <v>26</v>
      </c>
    </row>
    <row r="6">
      <c r="A6" s="4" t="s">
        <v>77</v>
      </c>
      <c r="B6" s="5">
        <f>COUNTIF('Production Data'!I2:I51,"Shut-in")</f>
        <v>16</v>
      </c>
    </row>
    <row r="7">
      <c r="A7" s="4" t="s">
        <v>78</v>
      </c>
      <c r="B7" s="5">
        <f>COUNTIF('Production Data'!I2:I51,"Monitor")</f>
        <v>8</v>
      </c>
    </row>
    <row r="8">
      <c r="A8" s="4" t="s">
        <v>79</v>
      </c>
      <c r="B8" s="5">
        <f>AVERAGE('Production Data'!F2:F51)</f>
        <v>2784.12</v>
      </c>
    </row>
    <row r="9">
      <c r="A9" s="4" t="s">
        <v>80</v>
      </c>
      <c r="B9" s="5">
        <f>AVERAGE('Production Data'!K2:K51)</f>
        <v>27.18</v>
      </c>
    </row>
    <row r="10">
      <c r="A10" s="4" t="s">
        <v>81</v>
      </c>
      <c r="B10" s="5">
        <f>AVERAGE('Production Data'!G2:G51)</f>
        <v>183.46</v>
      </c>
    </row>
    <row r="11">
      <c r="A11" s="4" t="s">
        <v>82</v>
      </c>
      <c r="B11" s="5">
        <f>SUM('Production Data'!D2:D51)</f>
        <v>23215</v>
      </c>
    </row>
    <row r="12">
      <c r="A12" s="4" t="s">
        <v>83</v>
      </c>
      <c r="B12" s="5">
        <f>SUM('Production Data'!E2:E51)</f>
        <v>45578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6" t="s">
        <v>84</v>
      </c>
    </row>
    <row r="3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</row>
    <row r="4">
      <c r="A4" s="3" t="s">
        <v>18</v>
      </c>
      <c r="B4" s="3">
        <f>SUMIF('Production Data'!B:B,"Alpha",'Production Data'!C:C)</f>
        <v>41307</v>
      </c>
      <c r="C4" s="3">
        <f>SUMIF('Production Data'!B:B,"Alpha",'Production Data'!D:D)</f>
        <v>7168</v>
      </c>
      <c r="D4" s="3">
        <f>SUMIF('Production Data'!B:B,"Alpha",'Production Data'!E:E)</f>
        <v>15059</v>
      </c>
      <c r="E4" s="3">
        <f>AVERAGEIF('Production Data'!B:B,"Alpha",'Production Data'!F:F)</f>
        <v>2730</v>
      </c>
      <c r="F4" s="3">
        <f>COUNTIFS('Production Data'!B:B,"Alpha",'Production Data'!I:I,"Active")</f>
        <v>11</v>
      </c>
      <c r="G4" s="3">
        <f>COUNTIFS('Production Data'!B:B,"Alpha",'Production Data'!I:I,"Shut-in")</f>
        <v>5</v>
      </c>
      <c r="H4" s="3">
        <f>COUNTIFS('Production Data'!B:B,"Alpha",'Production Data'!I:I,"Monitor")</f>
        <v>0</v>
      </c>
    </row>
    <row r="5">
      <c r="A5" s="3" t="s">
        <v>30</v>
      </c>
      <c r="B5" s="3">
        <f>SUMIF('Production Data'!B:B,"Bravo",'Production Data'!C:C)</f>
        <v>34291</v>
      </c>
      <c r="C5" s="3">
        <f>SUMIF('Production Data'!B:B,"Bravo",'Production Data'!D:D)</f>
        <v>6756</v>
      </c>
      <c r="D5" s="3">
        <f>SUMIF('Production Data'!B:B,"Bravo",'Production Data'!E:E)</f>
        <v>9701</v>
      </c>
      <c r="E5" s="3">
        <f>AVERAGEIF('Production Data'!B:B,"Bravo",'Production Data'!F:F)</f>
        <v>2770.230769</v>
      </c>
      <c r="F5" s="3">
        <f>COUNTIFS('Production Data'!B:B,"Bravo",'Production Data'!I:I,"Active")</f>
        <v>4</v>
      </c>
      <c r="G5" s="3">
        <f>COUNTIFS('Production Data'!B:B,"Bravo",'Production Data'!I:I,"Shut-in")</f>
        <v>6</v>
      </c>
      <c r="H5" s="3">
        <f>COUNTIFS('Production Data'!B:B,"Bravo",'Production Data'!I:I,"Monitor")</f>
        <v>3</v>
      </c>
    </row>
    <row r="6">
      <c r="A6" s="3" t="s">
        <v>14</v>
      </c>
      <c r="B6" s="3">
        <f>SUMIF('Production Data'!B:B,"Charlie",'Production Data'!C:C)</f>
        <v>59434</v>
      </c>
      <c r="C6" s="3">
        <f>SUMIF('Production Data'!B:B,"Charlie",'Production Data'!D:D)</f>
        <v>9291</v>
      </c>
      <c r="D6" s="3">
        <f>SUMIF('Production Data'!B:B,"Charlie",'Production Data'!E:E)</f>
        <v>20818</v>
      </c>
      <c r="E6" s="3">
        <f>AVERAGEIF('Production Data'!B:B,"Charlie",'Production Data'!F:F)</f>
        <v>2833.952381</v>
      </c>
      <c r="F6" s="3">
        <f>COUNTIFS('Production Data'!B:B,"Charlie",'Production Data'!I:I,"Active")</f>
        <v>11</v>
      </c>
      <c r="G6" s="3">
        <f>COUNTIFS('Production Data'!B:B,"Charlie",'Production Data'!I:I,"Shut-in")</f>
        <v>5</v>
      </c>
      <c r="H6" s="3">
        <f>COUNTIFS('Production Data'!B:B,"Charlie",'Production Data'!I:I,"Monitor")</f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8.0"/>
    <col customWidth="1" min="8" max="26" width="8.71"/>
  </cols>
  <sheetData>
    <row r="1">
      <c r="A1" s="8" t="s">
        <v>92</v>
      </c>
    </row>
    <row r="3">
      <c r="A3" s="9" t="s">
        <v>93</v>
      </c>
      <c r="B3" s="9" t="s">
        <v>1</v>
      </c>
      <c r="C3" s="9" t="s">
        <v>2</v>
      </c>
      <c r="D3" s="9" t="s">
        <v>94</v>
      </c>
      <c r="E3" s="9" t="s">
        <v>5</v>
      </c>
      <c r="F3" s="9" t="s">
        <v>8</v>
      </c>
      <c r="G3" s="9" t="s">
        <v>11</v>
      </c>
    </row>
    <row r="4">
      <c r="A4" s="3" t="str">
        <f>IF(OR('Production Data'!C2&lt;1500,'Production Data'!E2&gt;1200,'Production Data'!F2&lt;2400,'Production Data'!I2="Shut-in"),'Production Data'!A2,"")</f>
        <v>W001</v>
      </c>
      <c r="B4" s="3" t="str">
        <f t="array" ref="B4">IF(A4&lt;&gt;"",INDEX('Production Data'!B:B,MATCH(A4,'Production Data'!A:A,0)),"")</f>
        <v>Charlie</v>
      </c>
      <c r="C4" s="3">
        <f t="array" ref="C4">IF(A4&lt;&gt;"",INDEX('Production Data'!C:C,MATCH(A4,'Production Data'!A:A,0)),"")</f>
        <v>1256</v>
      </c>
      <c r="D4" s="3">
        <f t="array" ref="D4">IF(A4&lt;&gt;"",INDEX('Production Data'!K:K,MATCH(A4,'Production Data'!A:A,0)),"")</f>
        <v>43.4</v>
      </c>
      <c r="E4" s="3">
        <f t="array" ref="E4">IF(A4&lt;&gt;"",INDEX('Production Data'!F:F,MATCH(A4,'Production Data'!A:A,0)),"")</f>
        <v>2701</v>
      </c>
      <c r="F4" s="3" t="str">
        <f t="array" ref="F4">IF(A4&lt;&gt;"",INDEX('Production Data'!I:I,MATCH(A4,'Production Data'!A:A,0)),"")</f>
        <v>Shut-in</v>
      </c>
      <c r="G4" s="3" t="str">
        <f t="array" ref="G4">IF(A4&lt;&gt;"",INDEX('Production Data'!L:L,MATCH(A4,'Production Data'!A:A,0)),"")</f>
        <v>Workover Candidate</v>
      </c>
    </row>
    <row r="5">
      <c r="A5" s="3" t="str">
        <f>IF(OR('Production Data'!C3&lt;1500,'Production Data'!E3&gt;1200,'Production Data'!F3&lt;2400,'Production Data'!I3="Shut-in"),'Production Data'!A3,"")</f>
        <v/>
      </c>
      <c r="B5" s="3" t="str">
        <f t="array" ref="B5">IF(A5&lt;&gt;"",INDEX('Production Data'!B:B,MATCH(A5,'Production Data'!A:A,0)),"")</f>
        <v/>
      </c>
      <c r="C5" s="3" t="str">
        <f t="array" ref="C5">IF(A5&lt;&gt;"",INDEX('Production Data'!C:C,MATCH(A5,'Production Data'!A:A,0)),"")</f>
        <v/>
      </c>
      <c r="D5" s="3" t="str">
        <f t="array" ref="D5">IF(A5&lt;&gt;"",INDEX('Production Data'!K:K,MATCH(A5,'Production Data'!A:A,0)),"")</f>
        <v/>
      </c>
      <c r="E5" s="3" t="str">
        <f t="array" ref="E5">IF(A5&lt;&gt;"",INDEX('Production Data'!F:F,MATCH(A5,'Production Data'!A:A,0)),"")</f>
        <v/>
      </c>
      <c r="F5" s="3" t="str">
        <f t="array" ref="F5">IF(A5&lt;&gt;"",INDEX('Production Data'!I:I,MATCH(A5,'Production Data'!A:A,0)),"")</f>
        <v/>
      </c>
      <c r="G5" s="3" t="str">
        <f t="array" ref="G5">IF(A5&lt;&gt;"",INDEX('Production Data'!L:L,MATCH(A5,'Production Data'!A:A,0)),"")</f>
        <v/>
      </c>
    </row>
    <row r="6">
      <c r="A6" s="3" t="str">
        <f>IF(OR('Production Data'!C4&lt;1500,'Production Data'!E4&gt;1200,'Production Data'!F4&lt;2400,'Production Data'!I4="Shut-in"),'Production Data'!A4,"")</f>
        <v>W003</v>
      </c>
      <c r="B6" s="3" t="str">
        <f t="array" ref="B6">IF(A6&lt;&gt;"",INDEX('Production Data'!B:B,MATCH(A6,'Production Data'!A:A,0)),"")</f>
        <v>Alpha</v>
      </c>
      <c r="C6" s="3">
        <f t="array" ref="C6">IF(A6&lt;&gt;"",INDEX('Production Data'!C:C,MATCH(A6,'Production Data'!A:A,0)),"")</f>
        <v>1752</v>
      </c>
      <c r="D6" s="3">
        <f t="array" ref="D6">IF(A6&lt;&gt;"",INDEX('Production Data'!K:K,MATCH(A6,'Production Data'!A:A,0)),"")</f>
        <v>20.6</v>
      </c>
      <c r="E6" s="3">
        <f t="array" ref="E6">IF(A6&lt;&gt;"",INDEX('Production Data'!F:F,MATCH(A6,'Production Data'!A:A,0)),"")</f>
        <v>2607</v>
      </c>
      <c r="F6" s="3" t="str">
        <f t="array" ref="F6">IF(A6&lt;&gt;"",INDEX('Production Data'!I:I,MATCH(A6,'Production Data'!A:A,0)),"")</f>
        <v>Shut-in</v>
      </c>
      <c r="G6" s="3" t="str">
        <f t="array" ref="G6">IF(A6&lt;&gt;"",INDEX('Production Data'!L:L,MATCH(A6,'Production Data'!A:A,0)),"")</f>
        <v>Restart Evaluation</v>
      </c>
    </row>
    <row r="7">
      <c r="A7" s="3" t="str">
        <f>IF(OR('Production Data'!C5&lt;1500,'Production Data'!E5&gt;1200,'Production Data'!F5&lt;2400,'Production Data'!I5="Shut-in"),'Production Data'!A5,"")</f>
        <v>W004</v>
      </c>
      <c r="B7" s="3" t="str">
        <f t="array" ref="B7">IF(A7&lt;&gt;"",INDEX('Production Data'!B:B,MATCH(A7,'Production Data'!A:A,0)),"")</f>
        <v>Charlie</v>
      </c>
      <c r="C7" s="3">
        <f t="array" ref="C7">IF(A7&lt;&gt;"",INDEX('Production Data'!C:C,MATCH(A7,'Production Data'!A:A,0)),"")</f>
        <v>2518</v>
      </c>
      <c r="D7" s="3">
        <f t="array" ref="D7">IF(A7&lt;&gt;"",INDEX('Production Data'!K:K,MATCH(A7,'Production Data'!A:A,0)),"")</f>
        <v>34.4</v>
      </c>
      <c r="E7" s="3">
        <f t="array" ref="E7">IF(A7&lt;&gt;"",INDEX('Production Data'!F:F,MATCH(A7,'Production Data'!A:A,0)),"")</f>
        <v>2769</v>
      </c>
      <c r="F7" s="3" t="str">
        <f t="array" ref="F7">IF(A7&lt;&gt;"",INDEX('Production Data'!I:I,MATCH(A7,'Production Data'!A:A,0)),"")</f>
        <v>Active</v>
      </c>
      <c r="G7" s="3" t="str">
        <f t="array" ref="G7">IF(A7&lt;&gt;"",INDEX('Production Data'!L:L,MATCH(A7,'Production Data'!A:A,0)),"")</f>
        <v>Water Shutoff Study</v>
      </c>
    </row>
    <row r="8">
      <c r="A8" s="3" t="str">
        <f>IF(OR('Production Data'!C6&lt;1500,'Production Data'!E6&gt;1200,'Production Data'!F6&lt;2400,'Production Data'!I6="Shut-in"),'Production Data'!A6,"")</f>
        <v/>
      </c>
      <c r="B8" s="3" t="str">
        <f t="array" ref="B8">IF(A8&lt;&gt;"",INDEX('Production Data'!B:B,MATCH(A8,'Production Data'!A:A,0)),"")</f>
        <v/>
      </c>
      <c r="C8" s="3" t="str">
        <f t="array" ref="C8">IF(A8&lt;&gt;"",INDEX('Production Data'!C:C,MATCH(A8,'Production Data'!A:A,0)),"")</f>
        <v/>
      </c>
      <c r="D8" s="3" t="str">
        <f t="array" ref="D8">IF(A8&lt;&gt;"",INDEX('Production Data'!K:K,MATCH(A8,'Production Data'!A:A,0)),"")</f>
        <v/>
      </c>
      <c r="E8" s="3" t="str">
        <f t="array" ref="E8">IF(A8&lt;&gt;"",INDEX('Production Data'!F:F,MATCH(A8,'Production Data'!A:A,0)),"")</f>
        <v/>
      </c>
      <c r="F8" s="3" t="str">
        <f t="array" ref="F8">IF(A8&lt;&gt;"",INDEX('Production Data'!I:I,MATCH(A8,'Production Data'!A:A,0)),"")</f>
        <v/>
      </c>
      <c r="G8" s="3" t="str">
        <f t="array" ref="G8">IF(A8&lt;&gt;"",INDEX('Production Data'!L:L,MATCH(A8,'Production Data'!A:A,0)),"")</f>
        <v/>
      </c>
    </row>
    <row r="9">
      <c r="A9" s="3" t="str">
        <f>IF(OR('Production Data'!C7&lt;1500,'Production Data'!E7&gt;1200,'Production Data'!F7&lt;2400,'Production Data'!I7="Shut-in"),'Production Data'!A7,"")</f>
        <v/>
      </c>
      <c r="B9" s="3" t="str">
        <f t="array" ref="B9">IF(A9&lt;&gt;"",INDEX('Production Data'!B:B,MATCH(A9,'Production Data'!A:A,0)),"")</f>
        <v/>
      </c>
      <c r="C9" s="3" t="str">
        <f t="array" ref="C9">IF(A9&lt;&gt;"",INDEX('Production Data'!C:C,MATCH(A9,'Production Data'!A:A,0)),"")</f>
        <v/>
      </c>
      <c r="D9" s="3" t="str">
        <f t="array" ref="D9">IF(A9&lt;&gt;"",INDEX('Production Data'!K:K,MATCH(A9,'Production Data'!A:A,0)),"")</f>
        <v/>
      </c>
      <c r="E9" s="3" t="str">
        <f t="array" ref="E9">IF(A9&lt;&gt;"",INDEX('Production Data'!F:F,MATCH(A9,'Production Data'!A:A,0)),"")</f>
        <v/>
      </c>
      <c r="F9" s="3" t="str">
        <f t="array" ref="F9">IF(A9&lt;&gt;"",INDEX('Production Data'!I:I,MATCH(A9,'Production Data'!A:A,0)),"")</f>
        <v/>
      </c>
      <c r="G9" s="3" t="str">
        <f t="array" ref="G9">IF(A9&lt;&gt;"",INDEX('Production Data'!L:L,MATCH(A9,'Production Data'!A:A,0)),"")</f>
        <v/>
      </c>
    </row>
    <row r="10">
      <c r="A10" s="3" t="str">
        <f>IF(OR('Production Data'!C8&lt;1500,'Production Data'!E8&gt;1200,'Production Data'!F8&lt;2400,'Production Data'!I8="Shut-in"),'Production Data'!A8,"")</f>
        <v/>
      </c>
      <c r="B10" s="3" t="str">
        <f t="array" ref="B10">IF(A10&lt;&gt;"",INDEX('Production Data'!B:B,MATCH(A10,'Production Data'!A:A,0)),"")</f>
        <v/>
      </c>
      <c r="C10" s="3" t="str">
        <f t="array" ref="C10">IF(A10&lt;&gt;"",INDEX('Production Data'!C:C,MATCH(A10,'Production Data'!A:A,0)),"")</f>
        <v/>
      </c>
      <c r="D10" s="3" t="str">
        <f t="array" ref="D10">IF(A10&lt;&gt;"",INDEX('Production Data'!K:K,MATCH(A10,'Production Data'!A:A,0)),"")</f>
        <v/>
      </c>
      <c r="E10" s="3" t="str">
        <f t="array" ref="E10">IF(A10&lt;&gt;"",INDEX('Production Data'!F:F,MATCH(A10,'Production Data'!A:A,0)),"")</f>
        <v/>
      </c>
      <c r="F10" s="3" t="str">
        <f t="array" ref="F10">IF(A10&lt;&gt;"",INDEX('Production Data'!I:I,MATCH(A10,'Production Data'!A:A,0)),"")</f>
        <v/>
      </c>
      <c r="G10" s="3" t="str">
        <f t="array" ref="G10">IF(A10&lt;&gt;"",INDEX('Production Data'!L:L,MATCH(A10,'Production Data'!A:A,0)),"")</f>
        <v/>
      </c>
    </row>
    <row r="11">
      <c r="A11" s="3" t="str">
        <f>IF(OR('Production Data'!C9&lt;1500,'Production Data'!E9&gt;1200,'Production Data'!F9&lt;2400,'Production Data'!I9="Shut-in"),'Production Data'!A9,"")</f>
        <v>W008</v>
      </c>
      <c r="B11" s="3" t="str">
        <f t="array" ref="B11">IF(A11&lt;&gt;"",INDEX('Production Data'!B:B,MATCH(A11,'Production Data'!A:A,0)),"")</f>
        <v>Charlie</v>
      </c>
      <c r="C11" s="3">
        <f t="array" ref="C11">IF(A11&lt;&gt;"",INDEX('Production Data'!C:C,MATCH(A11,'Production Data'!A:A,0)),"")</f>
        <v>3333</v>
      </c>
      <c r="D11" s="3">
        <f t="array" ref="D11">IF(A11&lt;&gt;"",INDEX('Production Data'!K:K,MATCH(A11,'Production Data'!A:A,0)),"")</f>
        <v>19.2</v>
      </c>
      <c r="E11" s="3">
        <f t="array" ref="E11">IF(A11&lt;&gt;"",INDEX('Production Data'!F:F,MATCH(A11,'Production Data'!A:A,0)),"")</f>
        <v>2342</v>
      </c>
      <c r="F11" s="3" t="str">
        <f t="array" ref="F11">IF(A11&lt;&gt;"",INDEX('Production Data'!I:I,MATCH(A11,'Production Data'!A:A,0)),"")</f>
        <v>Active</v>
      </c>
      <c r="G11" s="3" t="str">
        <f t="array" ref="G11">IF(A11&lt;&gt;"",INDEX('Production Data'!L:L,MATCH(A11,'Production Data'!A:A,0)),"")</f>
        <v>Reservoir Review</v>
      </c>
    </row>
    <row r="12">
      <c r="A12" s="3" t="str">
        <f>IF(OR('Production Data'!C10&lt;1500,'Production Data'!E10&gt;1200,'Production Data'!F10&lt;2400,'Production Data'!I10="Shut-in"),'Production Data'!A10,"")</f>
        <v>W009</v>
      </c>
      <c r="B12" s="3" t="str">
        <f t="array" ref="B12">IF(A12&lt;&gt;"",INDEX('Production Data'!B:B,MATCH(A12,'Production Data'!A:A,0)),"")</f>
        <v>Bravo</v>
      </c>
      <c r="C12" s="3">
        <f t="array" ref="C12">IF(A12&lt;&gt;"",INDEX('Production Data'!C:C,MATCH(A12,'Production Data'!A:A,0)),"")</f>
        <v>1126</v>
      </c>
      <c r="D12" s="3">
        <f t="array" ref="D12">IF(A12&lt;&gt;"",INDEX('Production Data'!K:K,MATCH(A12,'Production Data'!A:A,0)),"")</f>
        <v>35</v>
      </c>
      <c r="E12" s="3">
        <f t="array" ref="E12">IF(A12&lt;&gt;"",INDEX('Production Data'!F:F,MATCH(A12,'Production Data'!A:A,0)),"")</f>
        <v>2978</v>
      </c>
      <c r="F12" s="3" t="str">
        <f t="array" ref="F12">IF(A12&lt;&gt;"",INDEX('Production Data'!I:I,MATCH(A12,'Production Data'!A:A,0)),"")</f>
        <v>Shut-in</v>
      </c>
      <c r="G12" s="3" t="str">
        <f t="array" ref="G12">IF(A12&lt;&gt;"",INDEX('Production Data'!L:L,MATCH(A12,'Production Data'!A:A,0)),"")</f>
        <v>Workover Candidate</v>
      </c>
    </row>
    <row r="13">
      <c r="A13" s="3" t="str">
        <f>IF(OR('Production Data'!C11&lt;1500,'Production Data'!E11&gt;1200,'Production Data'!F11&lt;2400,'Production Data'!I11="Shut-in"),'Production Data'!A11,"")</f>
        <v>W010</v>
      </c>
      <c r="B13" s="3" t="str">
        <f t="array" ref="B13">IF(A13&lt;&gt;"",INDEX('Production Data'!B:B,MATCH(A13,'Production Data'!A:A,0)),"")</f>
        <v>Bravo</v>
      </c>
      <c r="C13" s="3">
        <f t="array" ref="C13">IF(A13&lt;&gt;"",INDEX('Production Data'!C:C,MATCH(A13,'Production Data'!A:A,0)),"")</f>
        <v>1466</v>
      </c>
      <c r="D13" s="3">
        <f t="array" ref="D13">IF(A13&lt;&gt;"",INDEX('Production Data'!K:K,MATCH(A13,'Production Data'!A:A,0)),"")</f>
        <v>43.5</v>
      </c>
      <c r="E13" s="3">
        <f t="array" ref="E13">IF(A13&lt;&gt;"",INDEX('Production Data'!F:F,MATCH(A13,'Production Data'!A:A,0)),"")</f>
        <v>2629</v>
      </c>
      <c r="F13" s="3" t="str">
        <f t="array" ref="F13">IF(A13&lt;&gt;"",INDEX('Production Data'!I:I,MATCH(A13,'Production Data'!A:A,0)),"")</f>
        <v>Shut-in</v>
      </c>
      <c r="G13" s="3" t="str">
        <f t="array" ref="G13">IF(A13&lt;&gt;"",INDEX('Production Data'!L:L,MATCH(A13,'Production Data'!A:A,0)),"")</f>
        <v>Workover Candidate</v>
      </c>
    </row>
    <row r="14">
      <c r="A14" s="3" t="str">
        <f>IF(OR('Production Data'!C12&lt;1500,'Production Data'!E12&gt;1200,'Production Data'!F12&lt;2400,'Production Data'!I12="Shut-in"),'Production Data'!A12,"")</f>
        <v/>
      </c>
      <c r="B14" s="3" t="str">
        <f t="array" ref="B14">IF(A14&lt;&gt;"",INDEX('Production Data'!B:B,MATCH(A14,'Production Data'!A:A,0)),"")</f>
        <v/>
      </c>
      <c r="C14" s="3" t="str">
        <f t="array" ref="C14">IF(A14&lt;&gt;"",INDEX('Production Data'!C:C,MATCH(A14,'Production Data'!A:A,0)),"")</f>
        <v/>
      </c>
      <c r="D14" s="3" t="str">
        <f t="array" ref="D14">IF(A14&lt;&gt;"",INDEX('Production Data'!K:K,MATCH(A14,'Production Data'!A:A,0)),"")</f>
        <v/>
      </c>
      <c r="E14" s="3" t="str">
        <f t="array" ref="E14">IF(A14&lt;&gt;"",INDEX('Production Data'!F:F,MATCH(A14,'Production Data'!A:A,0)),"")</f>
        <v/>
      </c>
      <c r="F14" s="3" t="str">
        <f t="array" ref="F14">IF(A14&lt;&gt;"",INDEX('Production Data'!I:I,MATCH(A14,'Production Data'!A:A,0)),"")</f>
        <v/>
      </c>
      <c r="G14" s="3" t="str">
        <f t="array" ref="G14">IF(A14&lt;&gt;"",INDEX('Production Data'!L:L,MATCH(A14,'Production Data'!A:A,0)),"")</f>
        <v/>
      </c>
    </row>
    <row r="15">
      <c r="A15" s="3" t="str">
        <f>IF(OR('Production Data'!C13&lt;1500,'Production Data'!E13&gt;1200,'Production Data'!F13&lt;2400,'Production Data'!I13="Shut-in"),'Production Data'!A13,"")</f>
        <v/>
      </c>
      <c r="B15" s="3" t="str">
        <f t="array" ref="B15">IF(A15&lt;&gt;"",INDEX('Production Data'!B:B,MATCH(A15,'Production Data'!A:A,0)),"")</f>
        <v/>
      </c>
      <c r="C15" s="3" t="str">
        <f t="array" ref="C15">IF(A15&lt;&gt;"",INDEX('Production Data'!C:C,MATCH(A15,'Production Data'!A:A,0)),"")</f>
        <v/>
      </c>
      <c r="D15" s="3" t="str">
        <f t="array" ref="D15">IF(A15&lt;&gt;"",INDEX('Production Data'!K:K,MATCH(A15,'Production Data'!A:A,0)),"")</f>
        <v/>
      </c>
      <c r="E15" s="3" t="str">
        <f t="array" ref="E15">IF(A15&lt;&gt;"",INDEX('Production Data'!F:F,MATCH(A15,'Production Data'!A:A,0)),"")</f>
        <v/>
      </c>
      <c r="F15" s="3" t="str">
        <f t="array" ref="F15">IF(A15&lt;&gt;"",INDEX('Production Data'!I:I,MATCH(A15,'Production Data'!A:A,0)),"")</f>
        <v/>
      </c>
      <c r="G15" s="3" t="str">
        <f t="array" ref="G15">IF(A15&lt;&gt;"",INDEX('Production Data'!L:L,MATCH(A15,'Production Data'!A:A,0)),"")</f>
        <v/>
      </c>
    </row>
    <row r="16">
      <c r="A16" s="3" t="str">
        <f>IF(OR('Production Data'!C14&lt;1500,'Production Data'!E14&gt;1200,'Production Data'!F14&lt;2400,'Production Data'!I14="Shut-in"),'Production Data'!A14,"")</f>
        <v>W013</v>
      </c>
      <c r="B16" s="3" t="str">
        <f t="array" ref="B16">IF(A16&lt;&gt;"",INDEX('Production Data'!B:B,MATCH(A16,'Production Data'!A:A,0)),"")</f>
        <v>Alpha</v>
      </c>
      <c r="C16" s="3">
        <f t="array" ref="C16">IF(A16&lt;&gt;"",INDEX('Production Data'!C:C,MATCH(A16,'Production Data'!A:A,0)),"")</f>
        <v>4097</v>
      </c>
      <c r="D16" s="3">
        <f t="array" ref="D16">IF(A16&lt;&gt;"",INDEX('Production Data'!K:K,MATCH(A16,'Production Data'!A:A,0)),"")</f>
        <v>23</v>
      </c>
      <c r="E16" s="3">
        <f t="array" ref="E16">IF(A16&lt;&gt;"",INDEX('Production Data'!F:F,MATCH(A16,'Production Data'!A:A,0)),"")</f>
        <v>2748</v>
      </c>
      <c r="F16" s="3" t="str">
        <f t="array" ref="F16">IF(A16&lt;&gt;"",INDEX('Production Data'!I:I,MATCH(A16,'Production Data'!A:A,0)),"")</f>
        <v>Shut-in</v>
      </c>
      <c r="G16" s="3" t="str">
        <f t="array" ref="G16">IF(A16&lt;&gt;"",INDEX('Production Data'!L:L,MATCH(A16,'Production Data'!A:A,0)),"")</f>
        <v>Water Shutoff Study</v>
      </c>
    </row>
    <row r="17">
      <c r="A17" s="3" t="str">
        <f>IF(OR('Production Data'!C15&lt;1500,'Production Data'!E15&gt;1200,'Production Data'!F15&lt;2400,'Production Data'!I15="Shut-in"),'Production Data'!A15,"")</f>
        <v>W014</v>
      </c>
      <c r="B17" s="3" t="str">
        <f t="array" ref="B17">IF(A17&lt;&gt;"",INDEX('Production Data'!B:B,MATCH(A17,'Production Data'!A:A,0)),"")</f>
        <v>Charlie</v>
      </c>
      <c r="C17" s="3">
        <f t="array" ref="C17">IF(A17&lt;&gt;"",INDEX('Production Data'!C:C,MATCH(A17,'Production Data'!A:A,0)),"")</f>
        <v>2088</v>
      </c>
      <c r="D17" s="3">
        <f t="array" ref="D17">IF(A17&lt;&gt;"",INDEX('Production Data'!K:K,MATCH(A17,'Production Data'!A:A,0)),"")</f>
        <v>40.5</v>
      </c>
      <c r="E17" s="3">
        <f t="array" ref="E17">IF(A17&lt;&gt;"",INDEX('Production Data'!F:F,MATCH(A17,'Production Data'!A:A,0)),"")</f>
        <v>3010</v>
      </c>
      <c r="F17" s="3" t="str">
        <f t="array" ref="F17">IF(A17&lt;&gt;"",INDEX('Production Data'!I:I,MATCH(A17,'Production Data'!A:A,0)),"")</f>
        <v>Active</v>
      </c>
      <c r="G17" s="3" t="str">
        <f t="array" ref="G17">IF(A17&lt;&gt;"",INDEX('Production Data'!L:L,MATCH(A17,'Production Data'!A:A,0)),"")</f>
        <v>Water Shutoff Study</v>
      </c>
    </row>
    <row r="18">
      <c r="A18" s="3" t="str">
        <f>IF(OR('Production Data'!C16&lt;1500,'Production Data'!E16&gt;1200,'Production Data'!F16&lt;2400,'Production Data'!I16="Shut-in"),'Production Data'!A16,"")</f>
        <v>W015</v>
      </c>
      <c r="B18" s="3" t="str">
        <f t="array" ref="B18">IF(A18&lt;&gt;"",INDEX('Production Data'!B:B,MATCH(A18,'Production Data'!A:A,0)),"")</f>
        <v>Bravo</v>
      </c>
      <c r="C18" s="3">
        <f t="array" ref="C18">IF(A18&lt;&gt;"",INDEX('Production Data'!C:C,MATCH(A18,'Production Data'!A:A,0)),"")</f>
        <v>1371</v>
      </c>
      <c r="D18" s="3">
        <f t="array" ref="D18">IF(A18&lt;&gt;"",INDEX('Production Data'!K:K,MATCH(A18,'Production Data'!A:A,0)),"")</f>
        <v>40.6</v>
      </c>
      <c r="E18" s="3">
        <f t="array" ref="E18">IF(A18&lt;&gt;"",INDEX('Production Data'!F:F,MATCH(A18,'Production Data'!A:A,0)),"")</f>
        <v>3077</v>
      </c>
      <c r="F18" s="3" t="str">
        <f t="array" ref="F18">IF(A18&lt;&gt;"",INDEX('Production Data'!I:I,MATCH(A18,'Production Data'!A:A,0)),"")</f>
        <v>Monitor</v>
      </c>
      <c r="G18" s="3" t="str">
        <f t="array" ref="G18">IF(A18&lt;&gt;"",INDEX('Production Data'!L:L,MATCH(A18,'Production Data'!A:A,0)),"")</f>
        <v>Workover Candidate</v>
      </c>
    </row>
    <row r="19">
      <c r="A19" s="3" t="str">
        <f>IF(OR('Production Data'!C17&lt;1500,'Production Data'!E17&gt;1200,'Production Data'!F17&lt;2400,'Production Data'!I17="Shut-in"),'Production Data'!A17,"")</f>
        <v>W016</v>
      </c>
      <c r="B19" s="3" t="str">
        <f t="array" ref="B19">IF(A19&lt;&gt;"",INDEX('Production Data'!B:B,MATCH(A19,'Production Data'!A:A,0)),"")</f>
        <v>Alpha</v>
      </c>
      <c r="C19" s="3">
        <f t="array" ref="C19">IF(A19&lt;&gt;"",INDEX('Production Data'!C:C,MATCH(A19,'Production Data'!A:A,0)),"")</f>
        <v>1366</v>
      </c>
      <c r="D19" s="3">
        <f t="array" ref="D19">IF(A19&lt;&gt;"",INDEX('Production Data'!K:K,MATCH(A19,'Production Data'!A:A,0)),"")</f>
        <v>50.8</v>
      </c>
      <c r="E19" s="3">
        <f t="array" ref="E19">IF(A19&lt;&gt;"",INDEX('Production Data'!F:F,MATCH(A19,'Production Data'!A:A,0)),"")</f>
        <v>2386</v>
      </c>
      <c r="F19" s="3" t="str">
        <f t="array" ref="F19">IF(A19&lt;&gt;"",INDEX('Production Data'!I:I,MATCH(A19,'Production Data'!A:A,0)),"")</f>
        <v>Active</v>
      </c>
      <c r="G19" s="3" t="str">
        <f t="array" ref="G19">IF(A19&lt;&gt;"",INDEX('Production Data'!L:L,MATCH(A19,'Production Data'!A:A,0)),"")</f>
        <v>Workover Candidate</v>
      </c>
    </row>
    <row r="20">
      <c r="A20" s="3" t="str">
        <f>IF(OR('Production Data'!C18&lt;1500,'Production Data'!E18&gt;1200,'Production Data'!F18&lt;2400,'Production Data'!I18="Shut-in"),'Production Data'!A18,"")</f>
        <v>W017</v>
      </c>
      <c r="B20" s="3" t="str">
        <f t="array" ref="B20">IF(A20&lt;&gt;"",INDEX('Production Data'!B:B,MATCH(A20,'Production Data'!A:A,0)),"")</f>
        <v>Alpha</v>
      </c>
      <c r="C20" s="3">
        <f t="array" ref="C20">IF(A20&lt;&gt;"",INDEX('Production Data'!C:C,MATCH(A20,'Production Data'!A:A,0)),"")</f>
        <v>3370</v>
      </c>
      <c r="D20" s="3">
        <f t="array" ref="D20">IF(A20&lt;&gt;"",INDEX('Production Data'!K:K,MATCH(A20,'Production Data'!A:A,0)),"")</f>
        <v>27.3</v>
      </c>
      <c r="E20" s="3">
        <f t="array" ref="E20">IF(A20&lt;&gt;"",INDEX('Production Data'!F:F,MATCH(A20,'Production Data'!A:A,0)),"")</f>
        <v>2330</v>
      </c>
      <c r="F20" s="3" t="str">
        <f t="array" ref="F20">IF(A20&lt;&gt;"",INDEX('Production Data'!I:I,MATCH(A20,'Production Data'!A:A,0)),"")</f>
        <v>Shut-in</v>
      </c>
      <c r="G20" s="3" t="str">
        <f t="array" ref="G20">IF(A20&lt;&gt;"",INDEX('Production Data'!L:L,MATCH(A20,'Production Data'!A:A,0)),"")</f>
        <v>Water Shutoff Study</v>
      </c>
    </row>
    <row r="21" ht="15.75" customHeight="1">
      <c r="A21" s="3" t="str">
        <f>IF(OR('Production Data'!C19&lt;1500,'Production Data'!E19&gt;1200,'Production Data'!F19&lt;2400,'Production Data'!I19="Shut-in"),'Production Data'!A19,"")</f>
        <v/>
      </c>
      <c r="B21" s="3" t="str">
        <f t="array" ref="B21">IF(A21&lt;&gt;"",INDEX('Production Data'!B:B,MATCH(A21,'Production Data'!A:A,0)),"")</f>
        <v/>
      </c>
      <c r="C21" s="3" t="str">
        <f t="array" ref="C21">IF(A21&lt;&gt;"",INDEX('Production Data'!C:C,MATCH(A21,'Production Data'!A:A,0)),"")</f>
        <v/>
      </c>
      <c r="D21" s="3" t="str">
        <f t="array" ref="D21">IF(A21&lt;&gt;"",INDEX('Production Data'!K:K,MATCH(A21,'Production Data'!A:A,0)),"")</f>
        <v/>
      </c>
      <c r="E21" s="3" t="str">
        <f t="array" ref="E21">IF(A21&lt;&gt;"",INDEX('Production Data'!F:F,MATCH(A21,'Production Data'!A:A,0)),"")</f>
        <v/>
      </c>
      <c r="F21" s="3" t="str">
        <f t="array" ref="F21">IF(A21&lt;&gt;"",INDEX('Production Data'!I:I,MATCH(A21,'Production Data'!A:A,0)),"")</f>
        <v/>
      </c>
      <c r="G21" s="3" t="str">
        <f t="array" ref="G21">IF(A21&lt;&gt;"",INDEX('Production Data'!L:L,MATCH(A21,'Production Data'!A:A,0)),"")</f>
        <v/>
      </c>
    </row>
    <row r="22" ht="15.75" customHeight="1">
      <c r="A22" s="3" t="str">
        <f>IF(OR('Production Data'!C20&lt;1500,'Production Data'!E20&gt;1200,'Production Data'!F20&lt;2400,'Production Data'!I20="Shut-in"),'Production Data'!A20,"")</f>
        <v/>
      </c>
      <c r="B22" s="3" t="str">
        <f t="array" ref="B22">IF(A22&lt;&gt;"",INDEX('Production Data'!B:B,MATCH(A22,'Production Data'!A:A,0)),"")</f>
        <v/>
      </c>
      <c r="C22" s="3" t="str">
        <f t="array" ref="C22">IF(A22&lt;&gt;"",INDEX('Production Data'!C:C,MATCH(A22,'Production Data'!A:A,0)),"")</f>
        <v/>
      </c>
      <c r="D22" s="3" t="str">
        <f t="array" ref="D22">IF(A22&lt;&gt;"",INDEX('Production Data'!K:K,MATCH(A22,'Production Data'!A:A,0)),"")</f>
        <v/>
      </c>
      <c r="E22" s="3" t="str">
        <f t="array" ref="E22">IF(A22&lt;&gt;"",INDEX('Production Data'!F:F,MATCH(A22,'Production Data'!A:A,0)),"")</f>
        <v/>
      </c>
      <c r="F22" s="3" t="str">
        <f t="array" ref="F22">IF(A22&lt;&gt;"",INDEX('Production Data'!I:I,MATCH(A22,'Production Data'!A:A,0)),"")</f>
        <v/>
      </c>
      <c r="G22" s="3" t="str">
        <f t="array" ref="G22">IF(A22&lt;&gt;"",INDEX('Production Data'!L:L,MATCH(A22,'Production Data'!A:A,0)),"")</f>
        <v/>
      </c>
    </row>
    <row r="23" ht="15.75" customHeight="1">
      <c r="A23" s="3" t="str">
        <f>IF(OR('Production Data'!C21&lt;1500,'Production Data'!E21&gt;1200,'Production Data'!F21&lt;2400,'Production Data'!I21="Shut-in"),'Production Data'!A21,"")</f>
        <v>W020</v>
      </c>
      <c r="B23" s="3" t="str">
        <f t="array" ref="B23">IF(A23&lt;&gt;"",INDEX('Production Data'!B:B,MATCH(A23,'Production Data'!A:A,0)),"")</f>
        <v>Charlie</v>
      </c>
      <c r="C23" s="3">
        <f t="array" ref="C23">IF(A23&lt;&gt;"",INDEX('Production Data'!C:C,MATCH(A23,'Production Data'!A:A,0)),"")</f>
        <v>4387</v>
      </c>
      <c r="D23" s="3">
        <f t="array" ref="D23">IF(A23&lt;&gt;"",INDEX('Production Data'!K:K,MATCH(A23,'Production Data'!A:A,0)),"")</f>
        <v>24.5</v>
      </c>
      <c r="E23" s="3">
        <f t="array" ref="E23">IF(A23&lt;&gt;"",INDEX('Production Data'!F:F,MATCH(A23,'Production Data'!A:A,0)),"")</f>
        <v>2565</v>
      </c>
      <c r="F23" s="3" t="str">
        <f t="array" ref="F23">IF(A23&lt;&gt;"",INDEX('Production Data'!I:I,MATCH(A23,'Production Data'!A:A,0)),"")</f>
        <v>Shut-in</v>
      </c>
      <c r="G23" s="3" t="str">
        <f t="array" ref="G23">IF(A23&lt;&gt;"",INDEX('Production Data'!L:L,MATCH(A23,'Production Data'!A:A,0)),"")</f>
        <v>Water Shutoff Study</v>
      </c>
    </row>
    <row r="24" ht="15.75" customHeight="1">
      <c r="A24" s="3" t="str">
        <f>IF(OR('Production Data'!C22&lt;1500,'Production Data'!E22&gt;1200,'Production Data'!F22&lt;2400,'Production Data'!I22="Shut-in"),'Production Data'!A22,"")</f>
        <v>W021</v>
      </c>
      <c r="B24" s="3" t="str">
        <f t="array" ref="B24">IF(A24&lt;&gt;"",INDEX('Production Data'!B:B,MATCH(A24,'Production Data'!A:A,0)),"")</f>
        <v>Bravo</v>
      </c>
      <c r="C24" s="3">
        <f t="array" ref="C24">IF(A24&lt;&gt;"",INDEX('Production Data'!C:C,MATCH(A24,'Production Data'!A:A,0)),"")</f>
        <v>4247</v>
      </c>
      <c r="D24" s="3">
        <f t="array" ref="D24">IF(A24&lt;&gt;"",INDEX('Production Data'!K:K,MATCH(A24,'Production Data'!A:A,0)),"")</f>
        <v>16</v>
      </c>
      <c r="E24" s="3">
        <f t="array" ref="E24">IF(A24&lt;&gt;"",INDEX('Production Data'!F:F,MATCH(A24,'Production Data'!A:A,0)),"")</f>
        <v>2513</v>
      </c>
      <c r="F24" s="3" t="str">
        <f t="array" ref="F24">IF(A24&lt;&gt;"",INDEX('Production Data'!I:I,MATCH(A24,'Production Data'!A:A,0)),"")</f>
        <v>Shut-in</v>
      </c>
      <c r="G24" s="3" t="str">
        <f t="array" ref="G24">IF(A24&lt;&gt;"",INDEX('Production Data'!L:L,MATCH(A24,'Production Data'!A:A,0)),"")</f>
        <v>Restart Evaluation</v>
      </c>
    </row>
    <row r="25" ht="15.75" customHeight="1">
      <c r="A25" s="3" t="str">
        <f>IF(OR('Production Data'!C23&lt;1500,'Production Data'!E23&gt;1200,'Production Data'!F23&lt;2400,'Production Data'!I23="Shut-in"),'Production Data'!A23,"")</f>
        <v>W022</v>
      </c>
      <c r="B25" s="3" t="str">
        <f t="array" ref="B25">IF(A25&lt;&gt;"",INDEX('Production Data'!B:B,MATCH(A25,'Production Data'!A:A,0)),"")</f>
        <v>Charlie</v>
      </c>
      <c r="C25" s="3">
        <f t="array" ref="C25">IF(A25&lt;&gt;"",INDEX('Production Data'!C:C,MATCH(A25,'Production Data'!A:A,0)),"")</f>
        <v>802</v>
      </c>
      <c r="D25" s="3">
        <f t="array" ref="D25">IF(A25&lt;&gt;"",INDEX('Production Data'!K:K,MATCH(A25,'Production Data'!A:A,0)),"")</f>
        <v>63.6</v>
      </c>
      <c r="E25" s="3">
        <f t="array" ref="E25">IF(A25&lt;&gt;"",INDEX('Production Data'!F:F,MATCH(A25,'Production Data'!A:A,0)),"")</f>
        <v>2239</v>
      </c>
      <c r="F25" s="3" t="str">
        <f t="array" ref="F25">IF(A25&lt;&gt;"",INDEX('Production Data'!I:I,MATCH(A25,'Production Data'!A:A,0)),"")</f>
        <v>Monitor</v>
      </c>
      <c r="G25" s="3" t="str">
        <f t="array" ref="G25">IF(A25&lt;&gt;"",INDEX('Production Data'!L:L,MATCH(A25,'Production Data'!A:A,0)),"")</f>
        <v>Workover Candidate</v>
      </c>
    </row>
    <row r="26" ht="15.75" customHeight="1">
      <c r="A26" s="3" t="str">
        <f>IF(OR('Production Data'!C24&lt;1500,'Production Data'!E24&gt;1200,'Production Data'!F24&lt;2400,'Production Data'!I24="Shut-in"),'Production Data'!A24,"")</f>
        <v>W023</v>
      </c>
      <c r="B26" s="3" t="str">
        <f t="array" ref="B26">IF(A26&lt;&gt;"",INDEX('Production Data'!B:B,MATCH(A26,'Production Data'!A:A,0)),"")</f>
        <v>Alpha</v>
      </c>
      <c r="C26" s="3">
        <f t="array" ref="C26">IF(A26&lt;&gt;"",INDEX('Production Data'!C:C,MATCH(A26,'Production Data'!A:A,0)),"")</f>
        <v>1037</v>
      </c>
      <c r="D26" s="3">
        <f t="array" ref="D26">IF(A26&lt;&gt;"",INDEX('Production Data'!K:K,MATCH(A26,'Production Data'!A:A,0)),"")</f>
        <v>35.1</v>
      </c>
      <c r="E26" s="3">
        <f t="array" ref="E26">IF(A26&lt;&gt;"",INDEX('Production Data'!F:F,MATCH(A26,'Production Data'!A:A,0)),"")</f>
        <v>2375</v>
      </c>
      <c r="F26" s="3" t="str">
        <f t="array" ref="F26">IF(A26&lt;&gt;"",INDEX('Production Data'!I:I,MATCH(A26,'Production Data'!A:A,0)),"")</f>
        <v>Active</v>
      </c>
      <c r="G26" s="3" t="str">
        <f t="array" ref="G26">IF(A26&lt;&gt;"",INDEX('Production Data'!L:L,MATCH(A26,'Production Data'!A:A,0)),"")</f>
        <v>Workover Candidate</v>
      </c>
    </row>
    <row r="27" ht="15.75" customHeight="1">
      <c r="A27" s="3" t="str">
        <f>IF(OR('Production Data'!C25&lt;1500,'Production Data'!E25&gt;1200,'Production Data'!F25&lt;2400,'Production Data'!I25="Shut-in"),'Production Data'!A25,"")</f>
        <v/>
      </c>
      <c r="B27" s="3" t="str">
        <f t="array" ref="B27">IF(A27&lt;&gt;"",INDEX('Production Data'!B:B,MATCH(A27,'Production Data'!A:A,0)),"")</f>
        <v/>
      </c>
      <c r="C27" s="3" t="str">
        <f t="array" ref="C27">IF(A27&lt;&gt;"",INDEX('Production Data'!C:C,MATCH(A27,'Production Data'!A:A,0)),"")</f>
        <v/>
      </c>
      <c r="D27" s="3" t="str">
        <f t="array" ref="D27">IF(A27&lt;&gt;"",INDEX('Production Data'!K:K,MATCH(A27,'Production Data'!A:A,0)),"")</f>
        <v/>
      </c>
      <c r="E27" s="3" t="str">
        <f t="array" ref="E27">IF(A27&lt;&gt;"",INDEX('Production Data'!F:F,MATCH(A27,'Production Data'!A:A,0)),"")</f>
        <v/>
      </c>
      <c r="F27" s="3" t="str">
        <f t="array" ref="F27">IF(A27&lt;&gt;"",INDEX('Production Data'!I:I,MATCH(A27,'Production Data'!A:A,0)),"")</f>
        <v/>
      </c>
      <c r="G27" s="3" t="str">
        <f t="array" ref="G27">IF(A27&lt;&gt;"",INDEX('Production Data'!L:L,MATCH(A27,'Production Data'!A:A,0)),"")</f>
        <v/>
      </c>
    </row>
    <row r="28" ht="15.75" customHeight="1">
      <c r="A28" s="3" t="str">
        <f>IF(OR('Production Data'!C26&lt;1500,'Production Data'!E26&gt;1200,'Production Data'!F26&lt;2400,'Production Data'!I26="Shut-in"),'Production Data'!A26,"")</f>
        <v/>
      </c>
      <c r="B28" s="3" t="str">
        <f t="array" ref="B28">IF(A28&lt;&gt;"",INDEX('Production Data'!B:B,MATCH(A28,'Production Data'!A:A,0)),"")</f>
        <v/>
      </c>
      <c r="C28" s="3" t="str">
        <f t="array" ref="C28">IF(A28&lt;&gt;"",INDEX('Production Data'!C:C,MATCH(A28,'Production Data'!A:A,0)),"")</f>
        <v/>
      </c>
      <c r="D28" s="3" t="str">
        <f t="array" ref="D28">IF(A28&lt;&gt;"",INDEX('Production Data'!K:K,MATCH(A28,'Production Data'!A:A,0)),"")</f>
        <v/>
      </c>
      <c r="E28" s="3" t="str">
        <f t="array" ref="E28">IF(A28&lt;&gt;"",INDEX('Production Data'!F:F,MATCH(A28,'Production Data'!A:A,0)),"")</f>
        <v/>
      </c>
      <c r="F28" s="3" t="str">
        <f t="array" ref="F28">IF(A28&lt;&gt;"",INDEX('Production Data'!I:I,MATCH(A28,'Production Data'!A:A,0)),"")</f>
        <v/>
      </c>
      <c r="G28" s="3" t="str">
        <f t="array" ref="G28">IF(A28&lt;&gt;"",INDEX('Production Data'!L:L,MATCH(A28,'Production Data'!A:A,0)),"")</f>
        <v/>
      </c>
    </row>
    <row r="29" ht="15.75" customHeight="1">
      <c r="A29" s="3" t="str">
        <f>IF(OR('Production Data'!C27&lt;1500,'Production Data'!E27&gt;1200,'Production Data'!F27&lt;2400,'Production Data'!I27="Shut-in"),'Production Data'!A27,"")</f>
        <v>W026</v>
      </c>
      <c r="B29" s="3" t="str">
        <f t="array" ref="B29">IF(A29&lt;&gt;"",INDEX('Production Data'!B:B,MATCH(A29,'Production Data'!A:A,0)),"")</f>
        <v>Charlie</v>
      </c>
      <c r="C29" s="3">
        <f t="array" ref="C29">IF(A29&lt;&gt;"",INDEX('Production Data'!C:C,MATCH(A29,'Production Data'!A:A,0)),"")</f>
        <v>3461</v>
      </c>
      <c r="D29" s="3">
        <f t="array" ref="D29">IF(A29&lt;&gt;"",INDEX('Production Data'!K:K,MATCH(A29,'Production Data'!A:A,0)),"")</f>
        <v>27.3</v>
      </c>
      <c r="E29" s="3">
        <f t="array" ref="E29">IF(A29&lt;&gt;"",INDEX('Production Data'!F:F,MATCH(A29,'Production Data'!A:A,0)),"")</f>
        <v>3259</v>
      </c>
      <c r="F29" s="3" t="str">
        <f t="array" ref="F29">IF(A29&lt;&gt;"",INDEX('Production Data'!I:I,MATCH(A29,'Production Data'!A:A,0)),"")</f>
        <v>Active</v>
      </c>
      <c r="G29" s="3" t="str">
        <f t="array" ref="G29">IF(A29&lt;&gt;"",INDEX('Production Data'!L:L,MATCH(A29,'Production Data'!A:A,0)),"")</f>
        <v>Water Shutoff Study</v>
      </c>
    </row>
    <row r="30" ht="15.75" customHeight="1">
      <c r="A30" s="3" t="str">
        <f>IF(OR('Production Data'!C28&lt;1500,'Production Data'!E28&gt;1200,'Production Data'!F28&lt;2400,'Production Data'!I28="Shut-in"),'Production Data'!A28,"")</f>
        <v>W027</v>
      </c>
      <c r="B30" s="3" t="str">
        <f t="array" ref="B30">IF(A30&lt;&gt;"",INDEX('Production Data'!B:B,MATCH(A30,'Production Data'!A:A,0)),"")</f>
        <v>Alpha</v>
      </c>
      <c r="C30" s="3">
        <f t="array" ref="C30">IF(A30&lt;&gt;"",INDEX('Production Data'!C:C,MATCH(A30,'Production Data'!A:A,0)),"")</f>
        <v>1062</v>
      </c>
      <c r="D30" s="3">
        <f t="array" ref="D30">IF(A30&lt;&gt;"",INDEX('Production Data'!K:K,MATCH(A30,'Production Data'!A:A,0)),"")</f>
        <v>29.4</v>
      </c>
      <c r="E30" s="3">
        <f t="array" ref="E30">IF(A30&lt;&gt;"",INDEX('Production Data'!F:F,MATCH(A30,'Production Data'!A:A,0)),"")</f>
        <v>2671</v>
      </c>
      <c r="F30" s="3" t="str">
        <f t="array" ref="F30">IF(A30&lt;&gt;"",INDEX('Production Data'!I:I,MATCH(A30,'Production Data'!A:A,0)),"")</f>
        <v>Active</v>
      </c>
      <c r="G30" s="3" t="str">
        <f t="array" ref="G30">IF(A30&lt;&gt;"",INDEX('Production Data'!L:L,MATCH(A30,'Production Data'!A:A,0)),"")</f>
        <v>Workover Candidate</v>
      </c>
    </row>
    <row r="31" ht="15.75" customHeight="1">
      <c r="A31" s="3" t="str">
        <f>IF(OR('Production Data'!C29&lt;1500,'Production Data'!E29&gt;1200,'Production Data'!F29&lt;2400,'Production Data'!I29="Shut-in"),'Production Data'!A29,"")</f>
        <v>W028</v>
      </c>
      <c r="B31" s="3" t="str">
        <f t="array" ref="B31">IF(A31&lt;&gt;"",INDEX('Production Data'!B:B,MATCH(A31,'Production Data'!A:A,0)),"")</f>
        <v>Alpha</v>
      </c>
      <c r="C31" s="3">
        <f t="array" ref="C31">IF(A31&lt;&gt;"",INDEX('Production Data'!C:C,MATCH(A31,'Production Data'!A:A,0)),"")</f>
        <v>3699</v>
      </c>
      <c r="D31" s="3">
        <f t="array" ref="D31">IF(A31&lt;&gt;"",INDEX('Production Data'!K:K,MATCH(A31,'Production Data'!A:A,0)),"")</f>
        <v>19</v>
      </c>
      <c r="E31" s="3">
        <f t="array" ref="E31">IF(A31&lt;&gt;"",INDEX('Production Data'!F:F,MATCH(A31,'Production Data'!A:A,0)),"")</f>
        <v>2338</v>
      </c>
      <c r="F31" s="3" t="str">
        <f t="array" ref="F31">IF(A31&lt;&gt;"",INDEX('Production Data'!I:I,MATCH(A31,'Production Data'!A:A,0)),"")</f>
        <v>Active</v>
      </c>
      <c r="G31" s="3" t="str">
        <f t="array" ref="G31">IF(A31&lt;&gt;"",INDEX('Production Data'!L:L,MATCH(A31,'Production Data'!A:A,0)),"")</f>
        <v>Reservoir Review</v>
      </c>
    </row>
    <row r="32" ht="15.75" customHeight="1">
      <c r="A32" s="3" t="str">
        <f>IF(OR('Production Data'!C30&lt;1500,'Production Data'!E30&gt;1200,'Production Data'!F30&lt;2400,'Production Data'!I30="Shut-in"),'Production Data'!A30,"")</f>
        <v>W029</v>
      </c>
      <c r="B32" s="3" t="str">
        <f t="array" ref="B32">IF(A32&lt;&gt;"",INDEX('Production Data'!B:B,MATCH(A32,'Production Data'!A:A,0)),"")</f>
        <v>Charlie</v>
      </c>
      <c r="C32" s="3">
        <f t="array" ref="C32">IF(A32&lt;&gt;"",INDEX('Production Data'!C:C,MATCH(A32,'Production Data'!A:A,0)),"")</f>
        <v>1774</v>
      </c>
      <c r="D32" s="3">
        <f t="array" ref="D32">IF(A32&lt;&gt;"",INDEX('Production Data'!K:K,MATCH(A32,'Production Data'!A:A,0)),"")</f>
        <v>44</v>
      </c>
      <c r="E32" s="3">
        <f t="array" ref="E32">IF(A32&lt;&gt;"",INDEX('Production Data'!F:F,MATCH(A32,'Production Data'!A:A,0)),"")</f>
        <v>2638</v>
      </c>
      <c r="F32" s="3" t="str">
        <f t="array" ref="F32">IF(A32&lt;&gt;"",INDEX('Production Data'!I:I,MATCH(A32,'Production Data'!A:A,0)),"")</f>
        <v>Shut-in</v>
      </c>
      <c r="G32" s="3" t="str">
        <f t="array" ref="G32">IF(A32&lt;&gt;"",INDEX('Production Data'!L:L,MATCH(A32,'Production Data'!A:A,0)),"")</f>
        <v>Water Shutoff Study</v>
      </c>
    </row>
    <row r="33" ht="15.75" customHeight="1">
      <c r="A33" s="3" t="str">
        <f>IF(OR('Production Data'!C31&lt;1500,'Production Data'!E31&gt;1200,'Production Data'!F31&lt;2400,'Production Data'!I31="Shut-in"),'Production Data'!A31,"")</f>
        <v/>
      </c>
      <c r="B33" s="3" t="str">
        <f t="array" ref="B33">IF(A33&lt;&gt;"",INDEX('Production Data'!B:B,MATCH(A33,'Production Data'!A:A,0)),"")</f>
        <v/>
      </c>
      <c r="C33" s="3" t="str">
        <f t="array" ref="C33">IF(A33&lt;&gt;"",INDEX('Production Data'!C:C,MATCH(A33,'Production Data'!A:A,0)),"")</f>
        <v/>
      </c>
      <c r="D33" s="3" t="str">
        <f t="array" ref="D33">IF(A33&lt;&gt;"",INDEX('Production Data'!K:K,MATCH(A33,'Production Data'!A:A,0)),"")</f>
        <v/>
      </c>
      <c r="E33" s="3" t="str">
        <f t="array" ref="E33">IF(A33&lt;&gt;"",INDEX('Production Data'!F:F,MATCH(A33,'Production Data'!A:A,0)),"")</f>
        <v/>
      </c>
      <c r="F33" s="3" t="str">
        <f t="array" ref="F33">IF(A33&lt;&gt;"",INDEX('Production Data'!I:I,MATCH(A33,'Production Data'!A:A,0)),"")</f>
        <v/>
      </c>
      <c r="G33" s="3" t="str">
        <f t="array" ref="G33">IF(A33&lt;&gt;"",INDEX('Production Data'!L:L,MATCH(A33,'Production Data'!A:A,0)),"")</f>
        <v/>
      </c>
    </row>
    <row r="34" ht="15.75" customHeight="1">
      <c r="A34" s="3" t="str">
        <f>IF(OR('Production Data'!C32&lt;1500,'Production Data'!E32&gt;1200,'Production Data'!F32&lt;2400,'Production Data'!I32="Shut-in"),'Production Data'!A32,"")</f>
        <v>W031</v>
      </c>
      <c r="B34" s="3" t="str">
        <f t="array" ref="B34">IF(A34&lt;&gt;"",INDEX('Production Data'!B:B,MATCH(A34,'Production Data'!A:A,0)),"")</f>
        <v>Alpha</v>
      </c>
      <c r="C34" s="3">
        <f t="array" ref="C34">IF(A34&lt;&gt;"",INDEX('Production Data'!C:C,MATCH(A34,'Production Data'!A:A,0)),"")</f>
        <v>1197</v>
      </c>
      <c r="D34" s="3">
        <f t="array" ref="D34">IF(A34&lt;&gt;"",INDEX('Production Data'!K:K,MATCH(A34,'Production Data'!A:A,0)),"")</f>
        <v>48.4</v>
      </c>
      <c r="E34" s="3">
        <f t="array" ref="E34">IF(A34&lt;&gt;"",INDEX('Production Data'!F:F,MATCH(A34,'Production Data'!A:A,0)),"")</f>
        <v>3067</v>
      </c>
      <c r="F34" s="3" t="str">
        <f t="array" ref="F34">IF(A34&lt;&gt;"",INDEX('Production Data'!I:I,MATCH(A34,'Production Data'!A:A,0)),"")</f>
        <v>Shut-in</v>
      </c>
      <c r="G34" s="3" t="str">
        <f t="array" ref="G34">IF(A34&lt;&gt;"",INDEX('Production Data'!L:L,MATCH(A34,'Production Data'!A:A,0)),"")</f>
        <v>Workover Candidate</v>
      </c>
    </row>
    <row r="35" ht="15.75" customHeight="1">
      <c r="A35" s="3" t="str">
        <f>IF(OR('Production Data'!C33&lt;1500,'Production Data'!E33&gt;1200,'Production Data'!F33&lt;2400,'Production Data'!I33="Shut-in"),'Production Data'!A33,"")</f>
        <v/>
      </c>
      <c r="B35" s="3" t="str">
        <f t="array" ref="B35">IF(A35&lt;&gt;"",INDEX('Production Data'!B:B,MATCH(A35,'Production Data'!A:A,0)),"")</f>
        <v/>
      </c>
      <c r="C35" s="3" t="str">
        <f t="array" ref="C35">IF(A35&lt;&gt;"",INDEX('Production Data'!C:C,MATCH(A35,'Production Data'!A:A,0)),"")</f>
        <v/>
      </c>
      <c r="D35" s="3" t="str">
        <f t="array" ref="D35">IF(A35&lt;&gt;"",INDEX('Production Data'!K:K,MATCH(A35,'Production Data'!A:A,0)),"")</f>
        <v/>
      </c>
      <c r="E35" s="3" t="str">
        <f t="array" ref="E35">IF(A35&lt;&gt;"",INDEX('Production Data'!F:F,MATCH(A35,'Production Data'!A:A,0)),"")</f>
        <v/>
      </c>
      <c r="F35" s="3" t="str">
        <f t="array" ref="F35">IF(A35&lt;&gt;"",INDEX('Production Data'!I:I,MATCH(A35,'Production Data'!A:A,0)),"")</f>
        <v/>
      </c>
      <c r="G35" s="3" t="str">
        <f t="array" ref="G35">IF(A35&lt;&gt;"",INDEX('Production Data'!L:L,MATCH(A35,'Production Data'!A:A,0)),"")</f>
        <v/>
      </c>
    </row>
    <row r="36" ht="15.75" customHeight="1">
      <c r="A36" s="3" t="str">
        <f>IF(OR('Production Data'!C34&lt;1500,'Production Data'!E34&gt;1200,'Production Data'!F34&lt;2400,'Production Data'!I34="Shut-in"),'Production Data'!A34,"")</f>
        <v>W033</v>
      </c>
      <c r="B36" s="3" t="str">
        <f t="array" ref="B36">IF(A36&lt;&gt;"",INDEX('Production Data'!B:B,MATCH(A36,'Production Data'!A:A,0)),"")</f>
        <v>Alpha</v>
      </c>
      <c r="C36" s="3">
        <f t="array" ref="C36">IF(A36&lt;&gt;"",INDEX('Production Data'!C:C,MATCH(A36,'Production Data'!A:A,0)),"")</f>
        <v>1584</v>
      </c>
      <c r="D36" s="3">
        <f t="array" ref="D36">IF(A36&lt;&gt;"",INDEX('Production Data'!K:K,MATCH(A36,'Production Data'!A:A,0)),"")</f>
        <v>48.6</v>
      </c>
      <c r="E36" s="3">
        <f t="array" ref="E36">IF(A36&lt;&gt;"",INDEX('Production Data'!F:F,MATCH(A36,'Production Data'!A:A,0)),"")</f>
        <v>3118</v>
      </c>
      <c r="F36" s="3" t="str">
        <f t="array" ref="F36">IF(A36&lt;&gt;"",INDEX('Production Data'!I:I,MATCH(A36,'Production Data'!A:A,0)),"")</f>
        <v>Active</v>
      </c>
      <c r="G36" s="3" t="str">
        <f t="array" ref="G36">IF(A36&lt;&gt;"",INDEX('Production Data'!L:L,MATCH(A36,'Production Data'!A:A,0)),"")</f>
        <v>Water Shutoff Study</v>
      </c>
    </row>
    <row r="37" ht="15.75" customHeight="1">
      <c r="A37" s="3" t="str">
        <f>IF(OR('Production Data'!C35&lt;1500,'Production Data'!E35&gt;1200,'Production Data'!F35&lt;2400,'Production Data'!I35="Shut-in"),'Production Data'!A35,"")</f>
        <v/>
      </c>
      <c r="B37" s="3" t="str">
        <f t="array" ref="B37">IF(A37&lt;&gt;"",INDEX('Production Data'!B:B,MATCH(A37,'Production Data'!A:A,0)),"")</f>
        <v/>
      </c>
      <c r="C37" s="3" t="str">
        <f t="array" ref="C37">IF(A37&lt;&gt;"",INDEX('Production Data'!C:C,MATCH(A37,'Production Data'!A:A,0)),"")</f>
        <v/>
      </c>
      <c r="D37" s="3" t="str">
        <f t="array" ref="D37">IF(A37&lt;&gt;"",INDEX('Production Data'!K:K,MATCH(A37,'Production Data'!A:A,0)),"")</f>
        <v/>
      </c>
      <c r="E37" s="3" t="str">
        <f t="array" ref="E37">IF(A37&lt;&gt;"",INDEX('Production Data'!F:F,MATCH(A37,'Production Data'!A:A,0)),"")</f>
        <v/>
      </c>
      <c r="F37" s="3" t="str">
        <f t="array" ref="F37">IF(A37&lt;&gt;"",INDEX('Production Data'!I:I,MATCH(A37,'Production Data'!A:A,0)),"")</f>
        <v/>
      </c>
      <c r="G37" s="3" t="str">
        <f t="array" ref="G37">IF(A37&lt;&gt;"",INDEX('Production Data'!L:L,MATCH(A37,'Production Data'!A:A,0)),"")</f>
        <v/>
      </c>
    </row>
    <row r="38" ht="15.75" customHeight="1">
      <c r="A38" s="3" t="str">
        <f>IF(OR('Production Data'!C36&lt;1500,'Production Data'!E36&gt;1200,'Production Data'!F36&lt;2400,'Production Data'!I36="Shut-in"),'Production Data'!A36,"")</f>
        <v>W035</v>
      </c>
      <c r="B38" s="3" t="str">
        <f t="array" ref="B38">IF(A38&lt;&gt;"",INDEX('Production Data'!B:B,MATCH(A38,'Production Data'!A:A,0)),"")</f>
        <v>Alpha</v>
      </c>
      <c r="C38" s="3">
        <f t="array" ref="C38">IF(A38&lt;&gt;"",INDEX('Production Data'!C:C,MATCH(A38,'Production Data'!A:A,0)),"")</f>
        <v>3471</v>
      </c>
      <c r="D38" s="3">
        <f t="array" ref="D38">IF(A38&lt;&gt;"",INDEX('Production Data'!K:K,MATCH(A38,'Production Data'!A:A,0)),"")</f>
        <v>11</v>
      </c>
      <c r="E38" s="3">
        <f t="array" ref="E38">IF(A38&lt;&gt;"",INDEX('Production Data'!F:F,MATCH(A38,'Production Data'!A:A,0)),"")</f>
        <v>2391</v>
      </c>
      <c r="F38" s="3" t="str">
        <f t="array" ref="F38">IF(A38&lt;&gt;"",INDEX('Production Data'!I:I,MATCH(A38,'Production Data'!A:A,0)),"")</f>
        <v>Active</v>
      </c>
      <c r="G38" s="3" t="str">
        <f t="array" ref="G38">IF(A38&lt;&gt;"",INDEX('Production Data'!L:L,MATCH(A38,'Production Data'!A:A,0)),"")</f>
        <v>Reservoir Review</v>
      </c>
    </row>
    <row r="39" ht="15.75" customHeight="1">
      <c r="A39" s="3" t="str">
        <f>IF(OR('Production Data'!C37&lt;1500,'Production Data'!E37&gt;1200,'Production Data'!F37&lt;2400,'Production Data'!I37="Shut-in"),'Production Data'!A37,"")</f>
        <v/>
      </c>
      <c r="B39" s="3" t="str">
        <f t="array" ref="B39">IF(A39&lt;&gt;"",INDEX('Production Data'!B:B,MATCH(A39,'Production Data'!A:A,0)),"")</f>
        <v/>
      </c>
      <c r="C39" s="3" t="str">
        <f t="array" ref="C39">IF(A39&lt;&gt;"",INDEX('Production Data'!C:C,MATCH(A39,'Production Data'!A:A,0)),"")</f>
        <v/>
      </c>
      <c r="D39" s="3" t="str">
        <f t="array" ref="D39">IF(A39&lt;&gt;"",INDEX('Production Data'!K:K,MATCH(A39,'Production Data'!A:A,0)),"")</f>
        <v/>
      </c>
      <c r="E39" s="3" t="str">
        <f t="array" ref="E39">IF(A39&lt;&gt;"",INDEX('Production Data'!F:F,MATCH(A39,'Production Data'!A:A,0)),"")</f>
        <v/>
      </c>
      <c r="F39" s="3" t="str">
        <f t="array" ref="F39">IF(A39&lt;&gt;"",INDEX('Production Data'!I:I,MATCH(A39,'Production Data'!A:A,0)),"")</f>
        <v/>
      </c>
      <c r="G39" s="3" t="str">
        <f t="array" ref="G39">IF(A39&lt;&gt;"",INDEX('Production Data'!L:L,MATCH(A39,'Production Data'!A:A,0)),"")</f>
        <v/>
      </c>
    </row>
    <row r="40" ht="15.75" customHeight="1">
      <c r="A40" s="3" t="str">
        <f>IF(OR('Production Data'!C38&lt;1500,'Production Data'!E38&gt;1200,'Production Data'!F38&lt;2400,'Production Data'!I38="Shut-in"),'Production Data'!A38,"")</f>
        <v>W037</v>
      </c>
      <c r="B40" s="3" t="str">
        <f t="array" ref="B40">IF(A40&lt;&gt;"",INDEX('Production Data'!B:B,MATCH(A40,'Production Data'!A:A,0)),"")</f>
        <v>Alpha</v>
      </c>
      <c r="C40" s="3">
        <f t="array" ref="C40">IF(A40&lt;&gt;"",INDEX('Production Data'!C:C,MATCH(A40,'Production Data'!A:A,0)),"")</f>
        <v>2399</v>
      </c>
      <c r="D40" s="3">
        <f t="array" ref="D40">IF(A40&lt;&gt;"",INDEX('Production Data'!K:K,MATCH(A40,'Production Data'!A:A,0)),"")</f>
        <v>35.7</v>
      </c>
      <c r="E40" s="3">
        <f t="array" ref="E40">IF(A40&lt;&gt;"",INDEX('Production Data'!F:F,MATCH(A40,'Production Data'!A:A,0)),"")</f>
        <v>2784</v>
      </c>
      <c r="F40" s="3" t="str">
        <f t="array" ref="F40">IF(A40&lt;&gt;"",INDEX('Production Data'!I:I,MATCH(A40,'Production Data'!A:A,0)),"")</f>
        <v>Shut-in</v>
      </c>
      <c r="G40" s="3" t="str">
        <f t="array" ref="G40">IF(A40&lt;&gt;"",INDEX('Production Data'!L:L,MATCH(A40,'Production Data'!A:A,0)),"")</f>
        <v>Water Shutoff Study</v>
      </c>
    </row>
    <row r="41" ht="15.75" customHeight="1">
      <c r="A41" s="3" t="str">
        <f>IF(OR('Production Data'!C39&lt;1500,'Production Data'!E39&gt;1200,'Production Data'!F39&lt;2400,'Production Data'!I39="Shut-in"),'Production Data'!A39,"")</f>
        <v/>
      </c>
      <c r="B41" s="3" t="str">
        <f t="array" ref="B41">IF(A41&lt;&gt;"",INDEX('Production Data'!B:B,MATCH(A41,'Production Data'!A:A,0)),"")</f>
        <v/>
      </c>
      <c r="C41" s="3" t="str">
        <f t="array" ref="C41">IF(A41&lt;&gt;"",INDEX('Production Data'!C:C,MATCH(A41,'Production Data'!A:A,0)),"")</f>
        <v/>
      </c>
      <c r="D41" s="3" t="str">
        <f t="array" ref="D41">IF(A41&lt;&gt;"",INDEX('Production Data'!K:K,MATCH(A41,'Production Data'!A:A,0)),"")</f>
        <v/>
      </c>
      <c r="E41" s="3" t="str">
        <f t="array" ref="E41">IF(A41&lt;&gt;"",INDEX('Production Data'!F:F,MATCH(A41,'Production Data'!A:A,0)),"")</f>
        <v/>
      </c>
      <c r="F41" s="3" t="str">
        <f t="array" ref="F41">IF(A41&lt;&gt;"",INDEX('Production Data'!I:I,MATCH(A41,'Production Data'!A:A,0)),"")</f>
        <v/>
      </c>
      <c r="G41" s="3" t="str">
        <f t="array" ref="G41">IF(A41&lt;&gt;"",INDEX('Production Data'!L:L,MATCH(A41,'Production Data'!A:A,0)),"")</f>
        <v/>
      </c>
    </row>
    <row r="42" ht="15.75" customHeight="1">
      <c r="A42" s="3" t="str">
        <f>IF(OR('Production Data'!C40&lt;1500,'Production Data'!E40&gt;1200,'Production Data'!F40&lt;2400,'Production Data'!I40="Shut-in"),'Production Data'!A40,"")</f>
        <v>W039</v>
      </c>
      <c r="B42" s="3" t="str">
        <f t="array" ref="B42">IF(A42&lt;&gt;"",INDEX('Production Data'!B:B,MATCH(A42,'Production Data'!A:A,0)),"")</f>
        <v>Charlie</v>
      </c>
      <c r="C42" s="3">
        <f t="array" ref="C42">IF(A42&lt;&gt;"",INDEX('Production Data'!C:C,MATCH(A42,'Production Data'!A:A,0)),"")</f>
        <v>3813</v>
      </c>
      <c r="D42" s="3">
        <f t="array" ref="D42">IF(A42&lt;&gt;"",INDEX('Production Data'!K:K,MATCH(A42,'Production Data'!A:A,0)),"")</f>
        <v>12.1</v>
      </c>
      <c r="E42" s="3">
        <f t="array" ref="E42">IF(A42&lt;&gt;"",INDEX('Production Data'!F:F,MATCH(A42,'Production Data'!A:A,0)),"")</f>
        <v>2842</v>
      </c>
      <c r="F42" s="3" t="str">
        <f t="array" ref="F42">IF(A42&lt;&gt;"",INDEX('Production Data'!I:I,MATCH(A42,'Production Data'!A:A,0)),"")</f>
        <v>Shut-in</v>
      </c>
      <c r="G42" s="3" t="str">
        <f t="array" ref="G42">IF(A42&lt;&gt;"",INDEX('Production Data'!L:L,MATCH(A42,'Production Data'!A:A,0)),"")</f>
        <v>Restart Evaluation</v>
      </c>
    </row>
    <row r="43" ht="15.75" customHeight="1">
      <c r="A43" s="3" t="str">
        <f>IF(OR('Production Data'!C41&lt;1500,'Production Data'!E41&gt;1200,'Production Data'!F41&lt;2400,'Production Data'!I41="Shut-in"),'Production Data'!A41,"")</f>
        <v>W040</v>
      </c>
      <c r="B43" s="3" t="str">
        <f t="array" ref="B43">IF(A43&lt;&gt;"",INDEX('Production Data'!B:B,MATCH(A43,'Production Data'!A:A,0)),"")</f>
        <v>Bravo</v>
      </c>
      <c r="C43" s="3">
        <f t="array" ref="C43">IF(A43&lt;&gt;"",INDEX('Production Data'!C:C,MATCH(A43,'Production Data'!A:A,0)),"")</f>
        <v>2859</v>
      </c>
      <c r="D43" s="3">
        <f t="array" ref="D43">IF(A43&lt;&gt;"",INDEX('Production Data'!K:K,MATCH(A43,'Production Data'!A:A,0)),"")</f>
        <v>20.2</v>
      </c>
      <c r="E43" s="3">
        <f t="array" ref="E43">IF(A43&lt;&gt;"",INDEX('Production Data'!F:F,MATCH(A43,'Production Data'!A:A,0)),"")</f>
        <v>2316</v>
      </c>
      <c r="F43" s="3" t="str">
        <f t="array" ref="F43">IF(A43&lt;&gt;"",INDEX('Production Data'!I:I,MATCH(A43,'Production Data'!A:A,0)),"")</f>
        <v>Active</v>
      </c>
      <c r="G43" s="3" t="str">
        <f t="array" ref="G43">IF(A43&lt;&gt;"",INDEX('Production Data'!L:L,MATCH(A43,'Production Data'!A:A,0)),"")</f>
        <v>Reservoir Review</v>
      </c>
    </row>
    <row r="44" ht="15.75" customHeight="1">
      <c r="A44" s="3" t="str">
        <f>IF(OR('Production Data'!C42&lt;1500,'Production Data'!E42&gt;1200,'Production Data'!F42&lt;2400,'Production Data'!I42="Shut-in"),'Production Data'!A42,"")</f>
        <v/>
      </c>
      <c r="B44" s="3" t="str">
        <f t="array" ref="B44">IF(A44&lt;&gt;"",INDEX('Production Data'!B:B,MATCH(A44,'Production Data'!A:A,0)),"")</f>
        <v/>
      </c>
      <c r="C44" s="3" t="str">
        <f t="array" ref="C44">IF(A44&lt;&gt;"",INDEX('Production Data'!C:C,MATCH(A44,'Production Data'!A:A,0)),"")</f>
        <v/>
      </c>
      <c r="D44" s="3" t="str">
        <f t="array" ref="D44">IF(A44&lt;&gt;"",INDEX('Production Data'!K:K,MATCH(A44,'Production Data'!A:A,0)),"")</f>
        <v/>
      </c>
      <c r="E44" s="3" t="str">
        <f t="array" ref="E44">IF(A44&lt;&gt;"",INDEX('Production Data'!F:F,MATCH(A44,'Production Data'!A:A,0)),"")</f>
        <v/>
      </c>
      <c r="F44" s="3" t="str">
        <f t="array" ref="F44">IF(A44&lt;&gt;"",INDEX('Production Data'!I:I,MATCH(A44,'Production Data'!A:A,0)),"")</f>
        <v/>
      </c>
      <c r="G44" s="3" t="str">
        <f t="array" ref="G44">IF(A44&lt;&gt;"",INDEX('Production Data'!L:L,MATCH(A44,'Production Data'!A:A,0)),"")</f>
        <v/>
      </c>
    </row>
    <row r="45" ht="15.75" customHeight="1">
      <c r="A45" s="3" t="str">
        <f>IF(OR('Production Data'!C43&lt;1500,'Production Data'!E43&gt;1200,'Production Data'!F43&lt;2400,'Production Data'!I43="Shut-in"),'Production Data'!A43,"")</f>
        <v>W042</v>
      </c>
      <c r="B45" s="3" t="str">
        <f t="array" ref="B45">IF(A45&lt;&gt;"",INDEX('Production Data'!B:B,MATCH(A45,'Production Data'!A:A,0)),"")</f>
        <v>Charlie</v>
      </c>
      <c r="C45" s="3">
        <f t="array" ref="C45">IF(A45&lt;&gt;"",INDEX('Production Data'!C:C,MATCH(A45,'Production Data'!A:A,0)),"")</f>
        <v>3235</v>
      </c>
      <c r="D45" s="3">
        <f t="array" ref="D45">IF(A45&lt;&gt;"",INDEX('Production Data'!K:K,MATCH(A45,'Production Data'!A:A,0)),"")</f>
        <v>14.9</v>
      </c>
      <c r="E45" s="3">
        <f t="array" ref="E45">IF(A45&lt;&gt;"",INDEX('Production Data'!F:F,MATCH(A45,'Production Data'!A:A,0)),"")</f>
        <v>3058</v>
      </c>
      <c r="F45" s="3" t="str">
        <f t="array" ref="F45">IF(A45&lt;&gt;"",INDEX('Production Data'!I:I,MATCH(A45,'Production Data'!A:A,0)),"")</f>
        <v>Shut-in</v>
      </c>
      <c r="G45" s="3" t="str">
        <f t="array" ref="G45">IF(A45&lt;&gt;"",INDEX('Production Data'!L:L,MATCH(A45,'Production Data'!A:A,0)),"")</f>
        <v>Restart Evaluation</v>
      </c>
    </row>
    <row r="46" ht="15.75" customHeight="1">
      <c r="A46" s="3" t="str">
        <f>IF(OR('Production Data'!C44&lt;1500,'Production Data'!E44&gt;1200,'Production Data'!F44&lt;2400,'Production Data'!I44="Shut-in"),'Production Data'!A44,"")</f>
        <v/>
      </c>
      <c r="B46" s="3" t="str">
        <f t="array" ref="B46">IF(A46&lt;&gt;"",INDEX('Production Data'!B:B,MATCH(A46,'Production Data'!A:A,0)),"")</f>
        <v/>
      </c>
      <c r="C46" s="3" t="str">
        <f t="array" ref="C46">IF(A46&lt;&gt;"",INDEX('Production Data'!C:C,MATCH(A46,'Production Data'!A:A,0)),"")</f>
        <v/>
      </c>
      <c r="D46" s="3" t="str">
        <f t="array" ref="D46">IF(A46&lt;&gt;"",INDEX('Production Data'!K:K,MATCH(A46,'Production Data'!A:A,0)),"")</f>
        <v/>
      </c>
      <c r="E46" s="3" t="str">
        <f t="array" ref="E46">IF(A46&lt;&gt;"",INDEX('Production Data'!F:F,MATCH(A46,'Production Data'!A:A,0)),"")</f>
        <v/>
      </c>
      <c r="F46" s="3" t="str">
        <f t="array" ref="F46">IF(A46&lt;&gt;"",INDEX('Production Data'!I:I,MATCH(A46,'Production Data'!A:A,0)),"")</f>
        <v/>
      </c>
      <c r="G46" s="3" t="str">
        <f t="array" ref="G46">IF(A46&lt;&gt;"",INDEX('Production Data'!L:L,MATCH(A46,'Production Data'!A:A,0)),"")</f>
        <v/>
      </c>
    </row>
    <row r="47" ht="15.75" customHeight="1">
      <c r="A47" s="3" t="str">
        <f>IF(OR('Production Data'!C45&lt;1500,'Production Data'!E45&gt;1200,'Production Data'!F45&lt;2400,'Production Data'!I45="Shut-in"),'Production Data'!A45,"")</f>
        <v>W044</v>
      </c>
      <c r="B47" s="3" t="str">
        <f t="array" ref="B47">IF(A47&lt;&gt;"",INDEX('Production Data'!B:B,MATCH(A47,'Production Data'!A:A,0)),"")</f>
        <v>Alpha</v>
      </c>
      <c r="C47" s="3">
        <f t="array" ref="C47">IF(A47&lt;&gt;"",INDEX('Production Data'!C:C,MATCH(A47,'Production Data'!A:A,0)),"")</f>
        <v>3551</v>
      </c>
      <c r="D47" s="3">
        <f t="array" ref="D47">IF(A47&lt;&gt;"",INDEX('Production Data'!K:K,MATCH(A47,'Production Data'!A:A,0)),"")</f>
        <v>27.3</v>
      </c>
      <c r="E47" s="3">
        <f t="array" ref="E47">IF(A47&lt;&gt;"",INDEX('Production Data'!F:F,MATCH(A47,'Production Data'!A:A,0)),"")</f>
        <v>2847</v>
      </c>
      <c r="F47" s="3" t="str">
        <f t="array" ref="F47">IF(A47&lt;&gt;"",INDEX('Production Data'!I:I,MATCH(A47,'Production Data'!A:A,0)),"")</f>
        <v>Active</v>
      </c>
      <c r="G47" s="3" t="str">
        <f t="array" ref="G47">IF(A47&lt;&gt;"",INDEX('Production Data'!L:L,MATCH(A47,'Production Data'!A:A,0)),"")</f>
        <v>Water Shutoff Study</v>
      </c>
    </row>
    <row r="48" ht="15.75" customHeight="1">
      <c r="A48" s="3" t="str">
        <f>IF(OR('Production Data'!C46&lt;1500,'Production Data'!E46&gt;1200,'Production Data'!F46&lt;2400,'Production Data'!I46="Shut-in"),'Production Data'!A46,"")</f>
        <v>W045</v>
      </c>
      <c r="B48" s="3" t="str">
        <f t="array" ref="B48">IF(A48&lt;&gt;"",INDEX('Production Data'!B:B,MATCH(A48,'Production Data'!A:A,0)),"")</f>
        <v>Bravo</v>
      </c>
      <c r="C48" s="3">
        <f t="array" ref="C48">IF(A48&lt;&gt;"",INDEX('Production Data'!C:C,MATCH(A48,'Production Data'!A:A,0)),"")</f>
        <v>3344</v>
      </c>
      <c r="D48" s="3">
        <f t="array" ref="D48">IF(A48&lt;&gt;"",INDEX('Production Data'!K:K,MATCH(A48,'Production Data'!A:A,0)),"")</f>
        <v>15.3</v>
      </c>
      <c r="E48" s="3">
        <f t="array" ref="E48">IF(A48&lt;&gt;"",INDEX('Production Data'!F:F,MATCH(A48,'Production Data'!A:A,0)),"")</f>
        <v>2350</v>
      </c>
      <c r="F48" s="3" t="str">
        <f t="array" ref="F48">IF(A48&lt;&gt;"",INDEX('Production Data'!I:I,MATCH(A48,'Production Data'!A:A,0)),"")</f>
        <v>Shut-in</v>
      </c>
      <c r="G48" s="3" t="str">
        <f t="array" ref="G48">IF(A48&lt;&gt;"",INDEX('Production Data'!L:L,MATCH(A48,'Production Data'!A:A,0)),"")</f>
        <v>Reservoir Review</v>
      </c>
    </row>
    <row r="49" ht="15.75" customHeight="1">
      <c r="A49" s="3" t="str">
        <f>IF(OR('Production Data'!C47&lt;1500,'Production Data'!E47&gt;1200,'Production Data'!F47&lt;2400,'Production Data'!I47="Shut-in"),'Production Data'!A47,"")</f>
        <v>W046</v>
      </c>
      <c r="B49" s="3" t="str">
        <f t="array" ref="B49">IF(A49&lt;&gt;"",INDEX('Production Data'!B:B,MATCH(A49,'Production Data'!A:A,0)),"")</f>
        <v>Bravo</v>
      </c>
      <c r="C49" s="3">
        <f t="array" ref="C49">IF(A49&lt;&gt;"",INDEX('Production Data'!C:C,MATCH(A49,'Production Data'!A:A,0)),"")</f>
        <v>1342</v>
      </c>
      <c r="D49" s="3">
        <f t="array" ref="D49">IF(A49&lt;&gt;"",INDEX('Production Data'!K:K,MATCH(A49,'Production Data'!A:A,0)),"")</f>
        <v>28.7</v>
      </c>
      <c r="E49" s="3">
        <f t="array" ref="E49">IF(A49&lt;&gt;"",INDEX('Production Data'!F:F,MATCH(A49,'Production Data'!A:A,0)),"")</f>
        <v>2700</v>
      </c>
      <c r="F49" s="3" t="str">
        <f t="array" ref="F49">IF(A49&lt;&gt;"",INDEX('Production Data'!I:I,MATCH(A49,'Production Data'!A:A,0)),"")</f>
        <v>Active</v>
      </c>
      <c r="G49" s="3" t="str">
        <f t="array" ref="G49">IF(A49&lt;&gt;"",INDEX('Production Data'!L:L,MATCH(A49,'Production Data'!A:A,0)),"")</f>
        <v>Workover Candidate</v>
      </c>
    </row>
    <row r="50" ht="15.75" customHeight="1">
      <c r="A50" s="3" t="str">
        <f>IF(OR('Production Data'!C48&lt;1500,'Production Data'!E48&gt;1200,'Production Data'!F48&lt;2400,'Production Data'!I48="Shut-in"),'Production Data'!A48,"")</f>
        <v>W047</v>
      </c>
      <c r="B50" s="3" t="str">
        <f t="array" ref="B50">IF(A50&lt;&gt;"",INDEX('Production Data'!B:B,MATCH(A50,'Production Data'!A:A,0)),"")</f>
        <v>Bravo</v>
      </c>
      <c r="C50" s="3">
        <f t="array" ref="C50">IF(A50&lt;&gt;"",INDEX('Production Data'!C:C,MATCH(A50,'Production Data'!A:A,0)),"")</f>
        <v>4215</v>
      </c>
      <c r="D50" s="3">
        <f t="array" ref="D50">IF(A50&lt;&gt;"",INDEX('Production Data'!K:K,MATCH(A50,'Production Data'!A:A,0)),"")</f>
        <v>19.5</v>
      </c>
      <c r="E50" s="3">
        <f t="array" ref="E50">IF(A50&lt;&gt;"",INDEX('Production Data'!F:F,MATCH(A50,'Production Data'!A:A,0)),"")</f>
        <v>3283</v>
      </c>
      <c r="F50" s="3" t="str">
        <f t="array" ref="F50">IF(A50&lt;&gt;"",INDEX('Production Data'!I:I,MATCH(A50,'Production Data'!A:A,0)),"")</f>
        <v>Shut-in</v>
      </c>
      <c r="G50" s="3" t="str">
        <f t="array" ref="G50">IF(A50&lt;&gt;"",INDEX('Production Data'!L:L,MATCH(A50,'Production Data'!A:A,0)),"")</f>
        <v>Restart Evaluation</v>
      </c>
    </row>
    <row r="51" ht="15.75" customHeight="1">
      <c r="A51" s="3" t="str">
        <f>IF(OR('Production Data'!C49&lt;1500,'Production Data'!E49&gt;1200,'Production Data'!F49&lt;2400,'Production Data'!I49="Shut-in"),'Production Data'!A49,"")</f>
        <v>W048</v>
      </c>
      <c r="B51" s="3" t="str">
        <f t="array" ref="B51">IF(A51&lt;&gt;"",INDEX('Production Data'!B:B,MATCH(A51,'Production Data'!A:A,0)),"")</f>
        <v>Bravo</v>
      </c>
      <c r="C51" s="3">
        <f t="array" ref="C51">IF(A51&lt;&gt;"",INDEX('Production Data'!C:C,MATCH(A51,'Production Data'!A:A,0)),"")</f>
        <v>3517</v>
      </c>
      <c r="D51" s="3">
        <f t="array" ref="D51">IF(A51&lt;&gt;"",INDEX('Production Data'!K:K,MATCH(A51,'Production Data'!A:A,0)),"")</f>
        <v>16.1</v>
      </c>
      <c r="E51" s="3">
        <f t="array" ref="E51">IF(A51&lt;&gt;"",INDEX('Production Data'!F:F,MATCH(A51,'Production Data'!A:A,0)),"")</f>
        <v>2741</v>
      </c>
      <c r="F51" s="3" t="str">
        <f t="array" ref="F51">IF(A51&lt;&gt;"",INDEX('Production Data'!I:I,MATCH(A51,'Production Data'!A:A,0)),"")</f>
        <v>Shut-in</v>
      </c>
      <c r="G51" s="3" t="str">
        <f t="array" ref="G51">IF(A51&lt;&gt;"",INDEX('Production Data'!L:L,MATCH(A51,'Production Data'!A:A,0)),"")</f>
        <v>Restart Evaluation</v>
      </c>
    </row>
    <row r="52" ht="15.75" customHeight="1">
      <c r="A52" s="3" t="str">
        <f>IF(OR('Production Data'!C50&lt;1500,'Production Data'!E50&gt;1200,'Production Data'!F50&lt;2400,'Production Data'!I50="Shut-in"),'Production Data'!A50,"")</f>
        <v>W049</v>
      </c>
      <c r="B52" s="3" t="str">
        <f t="array" ref="B52">IF(A52&lt;&gt;"",INDEX('Production Data'!B:B,MATCH(A52,'Production Data'!A:A,0)),"")</f>
        <v>Charlie</v>
      </c>
      <c r="C52" s="3">
        <f t="array" ref="C52">IF(A52&lt;&gt;"",INDEX('Production Data'!C:C,MATCH(A52,'Production Data'!A:A,0)),"")</f>
        <v>1436</v>
      </c>
      <c r="D52" s="3">
        <f t="array" ref="D52">IF(A52&lt;&gt;"",INDEX('Production Data'!K:K,MATCH(A52,'Production Data'!A:A,0)),"")</f>
        <v>40.5</v>
      </c>
      <c r="E52" s="3">
        <f t="array" ref="E52">IF(A52&lt;&gt;"",INDEX('Production Data'!F:F,MATCH(A52,'Production Data'!A:A,0)),"")</f>
        <v>2631</v>
      </c>
      <c r="F52" s="3" t="str">
        <f t="array" ref="F52">IF(A52&lt;&gt;"",INDEX('Production Data'!I:I,MATCH(A52,'Production Data'!A:A,0)),"")</f>
        <v>Active</v>
      </c>
      <c r="G52" s="3" t="str">
        <f t="array" ref="G52">IF(A52&lt;&gt;"",INDEX('Production Data'!L:L,MATCH(A52,'Production Data'!A:A,0)),"")</f>
        <v>Workover Candidate</v>
      </c>
    </row>
    <row r="53" ht="15.75" customHeight="1">
      <c r="A53" s="3" t="str">
        <f>IF(OR('Production Data'!C51&lt;1500,'Production Data'!E51&gt;1200,'Production Data'!F51&lt;2400,'Production Data'!I51="Shut-in"),'Production Data'!A51,"")</f>
        <v>W050</v>
      </c>
      <c r="B53" s="3" t="str">
        <f t="array" ref="B53">IF(A53&lt;&gt;"",INDEX('Production Data'!B:B,MATCH(A53,'Production Data'!A:A,0)),"")</f>
        <v>Charlie</v>
      </c>
      <c r="C53" s="3">
        <f t="array" ref="C53">IF(A53&lt;&gt;"",INDEX('Production Data'!C:C,MATCH(A53,'Production Data'!A:A,0)),"")</f>
        <v>3397</v>
      </c>
      <c r="D53" s="3">
        <f t="array" ref="D53">IF(A53&lt;&gt;"",INDEX('Production Data'!K:K,MATCH(A53,'Production Data'!A:A,0)),"")</f>
        <v>29.7</v>
      </c>
      <c r="E53" s="3">
        <f t="array" ref="E53">IF(A53&lt;&gt;"",INDEX('Production Data'!F:F,MATCH(A53,'Production Data'!A:A,0)),"")</f>
        <v>3200</v>
      </c>
      <c r="F53" s="3" t="str">
        <f t="array" ref="F53">IF(A53&lt;&gt;"",INDEX('Production Data'!I:I,MATCH(A53,'Production Data'!A:A,0)),"")</f>
        <v>Active</v>
      </c>
      <c r="G53" s="3" t="str">
        <f t="array" ref="G53">IF(A53&lt;&gt;"",INDEX('Production Data'!L:L,MATCH(A53,'Production Data'!A:A,0)),"")</f>
        <v>Water Shutoff Study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10" t="s">
        <v>7</v>
      </c>
      <c r="B30" s="10" t="s">
        <v>96</v>
      </c>
    </row>
    <row r="31" ht="15.75" customHeight="1">
      <c r="A31" s="3" t="s">
        <v>15</v>
      </c>
      <c r="B31" s="3">
        <f>COUNTIF('Production Data'!H:H,"ESP")</f>
        <v>22</v>
      </c>
    </row>
    <row r="32" ht="15.75" customHeight="1">
      <c r="A32" s="3" t="s">
        <v>20</v>
      </c>
      <c r="B32" s="3">
        <f>COUNTIF('Production Data'!H:H,"Rod Pump")</f>
        <v>19</v>
      </c>
    </row>
    <row r="33" ht="15.75" customHeight="1">
      <c r="A33" s="3" t="s">
        <v>22</v>
      </c>
      <c r="B33" s="3">
        <f>COUNTIF('Production Data'!H:H,"Gas Lift")</f>
        <v>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2026-06-27T08:03:13Z</dcterms:created>
  <dc:creator>openpyxl</dc:creator>
</cp:coreProperties>
</file>